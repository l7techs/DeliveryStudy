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livery Business\DeliveryStudy\data\"/>
    </mc:Choice>
  </mc:AlternateContent>
  <bookViews>
    <workbookView xWindow="0" yWindow="0" windowWidth="27765" windowHeight="16980"/>
  </bookViews>
  <sheets>
    <sheet name="Main" sheetId="3" r:id="rId1"/>
    <sheet name="Cash FLow" sheetId="6" r:id="rId2"/>
    <sheet name="Rider Salary Calculation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3" l="1"/>
  <c r="L56" i="3" l="1"/>
  <c r="E56" i="6"/>
  <c r="E44" i="6"/>
  <c r="E20" i="6"/>
  <c r="E9" i="6"/>
  <c r="N38" i="3"/>
  <c r="O38" i="3"/>
  <c r="P38" i="3"/>
  <c r="L38" i="3"/>
  <c r="M38" i="3"/>
  <c r="E47" i="3" l="1"/>
  <c r="B10" i="7"/>
  <c r="B11" i="7"/>
  <c r="F11" i="7"/>
  <c r="G11" i="7"/>
  <c r="E11" i="7"/>
  <c r="D47" i="3" l="1"/>
  <c r="M16" i="3"/>
  <c r="N16" i="3"/>
  <c r="O16" i="3"/>
  <c r="P16" i="3"/>
  <c r="L16" i="3"/>
  <c r="P56" i="3" l="1"/>
  <c r="O56" i="3"/>
  <c r="N56" i="3"/>
  <c r="M56" i="3"/>
  <c r="M42" i="3"/>
  <c r="F21" i="6" s="1"/>
  <c r="N42" i="3"/>
  <c r="F41" i="6" s="1"/>
  <c r="O42" i="3"/>
  <c r="F48" i="6" s="1"/>
  <c r="P42" i="3"/>
  <c r="F57" i="6" s="1"/>
  <c r="L42" i="3"/>
  <c r="F18" i="6" s="1"/>
  <c r="F20" i="6" l="1"/>
  <c r="F11" i="6"/>
  <c r="F19" i="6"/>
  <c r="F17" i="6"/>
  <c r="F15" i="6"/>
  <c r="F13" i="6"/>
  <c r="F16" i="6"/>
  <c r="F14" i="6"/>
  <c r="F12" i="6"/>
  <c r="F32" i="6"/>
  <c r="F31" i="6"/>
  <c r="F30" i="6"/>
  <c r="F28" i="6"/>
  <c r="F40" i="6"/>
  <c r="F10" i="6"/>
  <c r="F39" i="6"/>
  <c r="F46" i="6"/>
  <c r="F37" i="6"/>
  <c r="F67" i="6"/>
  <c r="F36" i="6"/>
  <c r="F66" i="6"/>
  <c r="F27" i="6"/>
  <c r="F65" i="6"/>
  <c r="F26" i="6"/>
  <c r="F34" i="6"/>
  <c r="F25" i="6"/>
  <c r="F63" i="6"/>
  <c r="F24" i="6"/>
  <c r="F55" i="6"/>
  <c r="F23" i="6"/>
  <c r="F61" i="6"/>
  <c r="F22" i="6"/>
  <c r="F59" i="6"/>
  <c r="F44" i="6"/>
  <c r="F56" i="6"/>
  <c r="F47" i="6"/>
  <c r="F38" i="6"/>
  <c r="F68" i="6"/>
  <c r="F29" i="6"/>
  <c r="F35" i="6"/>
  <c r="F64" i="6"/>
  <c r="F45" i="6"/>
  <c r="F62" i="6"/>
  <c r="F54" i="6"/>
  <c r="F53" i="6"/>
  <c r="F60" i="6"/>
  <c r="F33" i="6"/>
  <c r="F52" i="6"/>
  <c r="F51" i="6"/>
  <c r="F58" i="6"/>
  <c r="F43" i="6"/>
  <c r="F50" i="6"/>
  <c r="F42" i="6"/>
  <c r="F49" i="6"/>
  <c r="M37" i="3"/>
  <c r="N37" i="3"/>
  <c r="O37" i="3"/>
  <c r="P37" i="3"/>
  <c r="L37" i="3"/>
  <c r="L36" i="3"/>
  <c r="M48" i="3"/>
  <c r="N48" i="3"/>
  <c r="O48" i="3"/>
  <c r="P48" i="3"/>
  <c r="M49" i="3"/>
  <c r="N49" i="3"/>
  <c r="O49" i="3"/>
  <c r="P49" i="3"/>
  <c r="M50" i="3"/>
  <c r="N50" i="3"/>
  <c r="O50" i="3"/>
  <c r="P50" i="3"/>
  <c r="M51" i="3"/>
  <c r="N51" i="3"/>
  <c r="O51" i="3"/>
  <c r="P51" i="3"/>
  <c r="L51" i="3"/>
  <c r="L50" i="3"/>
  <c r="L49" i="3"/>
  <c r="L48" i="3"/>
  <c r="M31" i="3"/>
  <c r="N31" i="3"/>
  <c r="O31" i="3"/>
  <c r="P31" i="3"/>
  <c r="M32" i="3"/>
  <c r="N32" i="3"/>
  <c r="O32" i="3"/>
  <c r="P32" i="3"/>
  <c r="M43" i="3"/>
  <c r="N43" i="3"/>
  <c r="O43" i="3"/>
  <c r="P43" i="3"/>
  <c r="M33" i="3"/>
  <c r="N33" i="3"/>
  <c r="O33" i="3"/>
  <c r="P33" i="3"/>
  <c r="M34" i="3"/>
  <c r="N34" i="3"/>
  <c r="O34" i="3"/>
  <c r="P34" i="3"/>
  <c r="M36" i="3"/>
  <c r="N36" i="3"/>
  <c r="O36" i="3"/>
  <c r="P36" i="3"/>
  <c r="L34" i="3"/>
  <c r="L33" i="3"/>
  <c r="L43" i="3"/>
  <c r="L32" i="3"/>
  <c r="L31" i="3"/>
  <c r="M26" i="3"/>
  <c r="N26" i="3"/>
  <c r="O26" i="3"/>
  <c r="P26" i="3"/>
  <c r="L26" i="3"/>
  <c r="M25" i="3"/>
  <c r="N25" i="3"/>
  <c r="O25" i="3"/>
  <c r="P25" i="3"/>
  <c r="L25" i="3"/>
  <c r="M24" i="3"/>
  <c r="N24" i="3"/>
  <c r="O24" i="3"/>
  <c r="P24" i="3"/>
  <c r="L24" i="3"/>
  <c r="M23" i="3"/>
  <c r="N23" i="3"/>
  <c r="O23" i="3"/>
  <c r="P23" i="3"/>
  <c r="L23" i="3"/>
  <c r="M22" i="3"/>
  <c r="N22" i="3"/>
  <c r="O22" i="3"/>
  <c r="P22" i="3"/>
  <c r="L22" i="3"/>
  <c r="M21" i="3"/>
  <c r="N21" i="3"/>
  <c r="O21" i="3"/>
  <c r="P21" i="3"/>
  <c r="L21" i="3"/>
  <c r="M20" i="3"/>
  <c r="N20" i="3"/>
  <c r="O20" i="3"/>
  <c r="P20" i="3"/>
  <c r="L20" i="3"/>
  <c r="M52" i="3"/>
  <c r="N52" i="3"/>
  <c r="O52" i="3"/>
  <c r="P52" i="3"/>
  <c r="L12" i="3"/>
  <c r="L52" i="3" s="1"/>
  <c r="M13" i="3"/>
  <c r="M53" i="3" s="1"/>
  <c r="N53" i="3"/>
  <c r="O53" i="3"/>
  <c r="P53" i="3"/>
  <c r="L13" i="3"/>
  <c r="L53" i="3" s="1"/>
  <c r="C20" i="3"/>
  <c r="E32" i="6" l="1"/>
  <c r="M17" i="3"/>
  <c r="N17" i="3"/>
  <c r="O17" i="3"/>
  <c r="P17" i="3"/>
  <c r="L17" i="3"/>
  <c r="D35" i="3"/>
  <c r="D27" i="3"/>
  <c r="K31" i="6" l="1"/>
  <c r="K26" i="6"/>
  <c r="K30" i="6"/>
  <c r="K22" i="6"/>
  <c r="K25" i="6"/>
  <c r="K21" i="6"/>
  <c r="K23" i="6"/>
  <c r="K27" i="6"/>
  <c r="K28" i="6"/>
  <c r="K29" i="6"/>
  <c r="K24" i="6"/>
  <c r="K32" i="6"/>
  <c r="K50" i="6"/>
  <c r="K51" i="6"/>
  <c r="K52" i="6"/>
  <c r="K46" i="6"/>
  <c r="K53" i="6"/>
  <c r="K47" i="6"/>
  <c r="K49" i="6"/>
  <c r="K54" i="6"/>
  <c r="K48" i="6"/>
  <c r="K55" i="6"/>
  <c r="K56" i="6"/>
  <c r="K45" i="6"/>
  <c r="K11" i="6"/>
  <c r="K12" i="6"/>
  <c r="K13" i="6"/>
  <c r="K20" i="6"/>
  <c r="K14" i="6"/>
  <c r="K15" i="6"/>
  <c r="K16" i="6"/>
  <c r="K18" i="6"/>
  <c r="K17" i="6"/>
  <c r="K19" i="6"/>
  <c r="K10" i="6"/>
  <c r="K58" i="6"/>
  <c r="K59" i="6"/>
  <c r="K60" i="6"/>
  <c r="K61" i="6"/>
  <c r="K65" i="6"/>
  <c r="K57" i="6"/>
  <c r="K62" i="6"/>
  <c r="K66" i="6"/>
  <c r="K67" i="6"/>
  <c r="K63" i="6"/>
  <c r="K68" i="6"/>
  <c r="K64" i="6"/>
  <c r="K42" i="6"/>
  <c r="K43" i="6"/>
  <c r="K37" i="6"/>
  <c r="K44" i="6"/>
  <c r="K33" i="6"/>
  <c r="K40" i="6"/>
  <c r="K36" i="6"/>
  <c r="K39" i="6"/>
  <c r="K34" i="6"/>
  <c r="K38" i="6"/>
  <c r="K35" i="6"/>
  <c r="K41" i="6"/>
  <c r="P27" i="3"/>
  <c r="L27" i="3"/>
  <c r="D9" i="6" s="1"/>
  <c r="M27" i="3"/>
  <c r="O27" i="3"/>
  <c r="N27" i="3"/>
  <c r="M35" i="3"/>
  <c r="N35" i="3"/>
  <c r="D39" i="3"/>
  <c r="O35" i="3"/>
  <c r="P35" i="3"/>
  <c r="L35" i="3"/>
  <c r="D28" i="3"/>
  <c r="O47" i="3"/>
  <c r="L47" i="3"/>
  <c r="N47" i="3"/>
  <c r="P47" i="3"/>
  <c r="M47" i="3"/>
  <c r="D20" i="6" l="1"/>
  <c r="E28" i="3"/>
  <c r="M9" i="6"/>
  <c r="N9" i="6" s="1"/>
  <c r="I11" i="6"/>
  <c r="I12" i="6"/>
  <c r="I13" i="6"/>
  <c r="I14" i="6"/>
  <c r="I20" i="6"/>
  <c r="I10" i="6"/>
  <c r="I15" i="6"/>
  <c r="I18" i="6"/>
  <c r="I17" i="6"/>
  <c r="I19" i="6"/>
  <c r="I16" i="6"/>
  <c r="I31" i="6"/>
  <c r="I32" i="6"/>
  <c r="I23" i="6"/>
  <c r="I21" i="6"/>
  <c r="I30" i="6"/>
  <c r="I26" i="6"/>
  <c r="I29" i="6"/>
  <c r="I25" i="6"/>
  <c r="I24" i="6"/>
  <c r="I22" i="6"/>
  <c r="I28" i="6"/>
  <c r="I27" i="6"/>
  <c r="I58" i="6"/>
  <c r="I59" i="6"/>
  <c r="I60" i="6"/>
  <c r="I61" i="6"/>
  <c r="I62" i="6"/>
  <c r="I64" i="6"/>
  <c r="I63" i="6"/>
  <c r="I66" i="6"/>
  <c r="I57" i="6"/>
  <c r="I65" i="6"/>
  <c r="I67" i="6"/>
  <c r="I68" i="6"/>
  <c r="I49" i="6"/>
  <c r="I50" i="6"/>
  <c r="I51" i="6"/>
  <c r="I52" i="6"/>
  <c r="I55" i="6"/>
  <c r="I56" i="6"/>
  <c r="I45" i="6"/>
  <c r="I53" i="6"/>
  <c r="I54" i="6"/>
  <c r="I46" i="6"/>
  <c r="I48" i="6"/>
  <c r="I47" i="6"/>
  <c r="I38" i="6"/>
  <c r="I41" i="6"/>
  <c r="I43" i="6"/>
  <c r="I34" i="6"/>
  <c r="I36" i="6"/>
  <c r="I39" i="6"/>
  <c r="I44" i="6"/>
  <c r="I35" i="6"/>
  <c r="I40" i="6"/>
  <c r="I42" i="6"/>
  <c r="I33" i="6"/>
  <c r="I37" i="6"/>
  <c r="G29" i="6"/>
  <c r="G30" i="6"/>
  <c r="G25" i="6"/>
  <c r="G27" i="6"/>
  <c r="G31" i="6"/>
  <c r="G32" i="6"/>
  <c r="G22" i="6"/>
  <c r="G23" i="6"/>
  <c r="G28" i="6"/>
  <c r="G21" i="6"/>
  <c r="G24" i="6"/>
  <c r="G26" i="6"/>
  <c r="G57" i="6"/>
  <c r="G64" i="6"/>
  <c r="G62" i="6"/>
  <c r="G66" i="6"/>
  <c r="G68" i="6"/>
  <c r="G60" i="6"/>
  <c r="G58" i="6"/>
  <c r="G63" i="6"/>
  <c r="G65" i="6"/>
  <c r="G59" i="6"/>
  <c r="G67" i="6"/>
  <c r="M67" i="6" s="1"/>
  <c r="G61" i="6"/>
  <c r="G15" i="6"/>
  <c r="G14" i="6"/>
  <c r="G18" i="6"/>
  <c r="G11" i="6"/>
  <c r="G20" i="6"/>
  <c r="G12" i="6"/>
  <c r="G13" i="6"/>
  <c r="G16" i="6"/>
  <c r="G17" i="6"/>
  <c r="G19" i="6"/>
  <c r="G10" i="6"/>
  <c r="G46" i="6"/>
  <c r="G47" i="6"/>
  <c r="G48" i="6"/>
  <c r="G45" i="6"/>
  <c r="G49" i="6"/>
  <c r="G55" i="6"/>
  <c r="G50" i="6"/>
  <c r="G53" i="6"/>
  <c r="G54" i="6"/>
  <c r="G51" i="6"/>
  <c r="G52" i="6"/>
  <c r="G56" i="6"/>
  <c r="G37" i="6"/>
  <c r="G38" i="6"/>
  <c r="G39" i="6"/>
  <c r="G44" i="6"/>
  <c r="G40" i="6"/>
  <c r="G41" i="6"/>
  <c r="G42" i="6"/>
  <c r="G34" i="6"/>
  <c r="G36" i="6"/>
  <c r="G43" i="6"/>
  <c r="G33" i="6"/>
  <c r="G35" i="6"/>
  <c r="L62" i="3"/>
  <c r="O62" i="3"/>
  <c r="P62" i="3"/>
  <c r="N62" i="3"/>
  <c r="M62" i="3"/>
  <c r="D32" i="6" l="1"/>
  <c r="M27" i="6"/>
  <c r="M13" i="6"/>
  <c r="M20" i="6"/>
  <c r="M17" i="6"/>
  <c r="M37" i="6"/>
  <c r="M12" i="6"/>
  <c r="M31" i="6"/>
  <c r="M47" i="6"/>
  <c r="M16" i="6"/>
  <c r="M19" i="6"/>
  <c r="M46" i="6"/>
  <c r="M63" i="6"/>
  <c r="M10" i="6"/>
  <c r="N10" i="6" s="1"/>
  <c r="M25" i="6"/>
  <c r="M29" i="6"/>
  <c r="M11" i="6"/>
  <c r="M26" i="6"/>
  <c r="M24" i="6"/>
  <c r="M14" i="6"/>
  <c r="M18" i="6"/>
  <c r="M30" i="6"/>
  <c r="M21" i="6"/>
  <c r="M15" i="6"/>
  <c r="M28" i="6"/>
  <c r="M23" i="6"/>
  <c r="M22" i="6"/>
  <c r="M48" i="6"/>
  <c r="M32" i="6"/>
  <c r="M59" i="6"/>
  <c r="M61" i="6"/>
  <c r="M45" i="6"/>
  <c r="M60" i="6"/>
  <c r="M40" i="6"/>
  <c r="M50" i="6"/>
  <c r="M58" i="6"/>
  <c r="M36" i="6"/>
  <c r="M62" i="6"/>
  <c r="M34" i="6"/>
  <c r="M38" i="6"/>
  <c r="M52" i="6"/>
  <c r="M64" i="6"/>
  <c r="M35" i="6"/>
  <c r="M49" i="6"/>
  <c r="M41" i="6"/>
  <c r="M39" i="6"/>
  <c r="M66" i="6"/>
  <c r="M51" i="6"/>
  <c r="M57" i="6"/>
  <c r="M65" i="6"/>
  <c r="M68" i="6"/>
  <c r="M54" i="6"/>
  <c r="M53" i="6"/>
  <c r="M55" i="6"/>
  <c r="M33" i="6"/>
  <c r="M43" i="6"/>
  <c r="M42" i="6"/>
  <c r="D44" i="6" l="1"/>
  <c r="M44" i="6" s="1"/>
  <c r="N11" i="6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l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D56" i="6"/>
  <c r="M56" i="6" s="1"/>
  <c r="N56" i="6" l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</calcChain>
</file>

<file path=xl/sharedStrings.xml><?xml version="1.0" encoding="utf-8"?>
<sst xmlns="http://schemas.openxmlformats.org/spreadsheetml/2006/main" count="81" uniqueCount="67">
  <si>
    <t>Average order value</t>
  </si>
  <si>
    <t>Platform Development</t>
  </si>
  <si>
    <t>Rider Salary</t>
  </si>
  <si>
    <t>Accountant Salary</t>
  </si>
  <si>
    <t>Marketing</t>
  </si>
  <si>
    <t>Office equipment</t>
  </si>
  <si>
    <t>Initial Marketing</t>
  </si>
  <si>
    <t>Support Salary</t>
  </si>
  <si>
    <t>Marketing Salary</t>
  </si>
  <si>
    <t>Monthly Revenue</t>
  </si>
  <si>
    <t>Commission Rate On Order</t>
  </si>
  <si>
    <t>Average Orders per rider per day</t>
  </si>
  <si>
    <t>Delivery fee</t>
  </si>
  <si>
    <t>Bikes</t>
  </si>
  <si>
    <t>Investment Cycle</t>
  </si>
  <si>
    <t>Bike Mechanics</t>
  </si>
  <si>
    <t>Bike store manager</t>
  </si>
  <si>
    <t>App</t>
  </si>
  <si>
    <t>Number of Riders</t>
  </si>
  <si>
    <t>Office rent</t>
  </si>
  <si>
    <t>bikes space rent</t>
  </si>
  <si>
    <t>bike space equipment</t>
  </si>
  <si>
    <t>Salaries</t>
  </si>
  <si>
    <t>Marking</t>
  </si>
  <si>
    <t>year</t>
  </si>
  <si>
    <t>Riders Insurance</t>
  </si>
  <si>
    <t>Bikes Insurance</t>
  </si>
  <si>
    <t>POS Devices</t>
  </si>
  <si>
    <t>Server Rent</t>
  </si>
  <si>
    <t xml:space="preserve">App 3rd parties </t>
  </si>
  <si>
    <t>USD =</t>
  </si>
  <si>
    <t>domain, firebase, …</t>
  </si>
  <si>
    <t>Projection</t>
  </si>
  <si>
    <t>Share with SyTRA</t>
  </si>
  <si>
    <t>Monthly Profit</t>
  </si>
  <si>
    <t>Support</t>
  </si>
  <si>
    <t>Accountant</t>
  </si>
  <si>
    <t>annual GOV fees</t>
  </si>
  <si>
    <t>IT Engineer</t>
  </si>
  <si>
    <t>IT Engineer Salary</t>
  </si>
  <si>
    <t>Year</t>
  </si>
  <si>
    <t>Aleppo</t>
  </si>
  <si>
    <t>Damascus</t>
  </si>
  <si>
    <t xml:space="preserve">Location </t>
  </si>
  <si>
    <t>Tax</t>
  </si>
  <si>
    <t>Registration and Fees</t>
  </si>
  <si>
    <t>Initial Cost</t>
  </si>
  <si>
    <t>Month</t>
  </si>
  <si>
    <t>Operating Cash Flow</t>
  </si>
  <si>
    <t>Financing</t>
  </si>
  <si>
    <t>Ending Cash</t>
  </si>
  <si>
    <t>Annual Costs</t>
  </si>
  <si>
    <t>Initial Costs</t>
  </si>
  <si>
    <t>Management Cash</t>
  </si>
  <si>
    <t>Renvenu</t>
  </si>
  <si>
    <t>Monthly Costs</t>
  </si>
  <si>
    <t>Annual Running cost</t>
  </si>
  <si>
    <t>Monthly Running Costs</t>
  </si>
  <si>
    <t>Bills</t>
  </si>
  <si>
    <t>Number of Orders</t>
  </si>
  <si>
    <t>Base</t>
  </si>
  <si>
    <t>%</t>
  </si>
  <si>
    <t>USD Rate</t>
  </si>
  <si>
    <t>bonus of delivery fees after Base Salary</t>
  </si>
  <si>
    <t># Orders</t>
  </si>
  <si>
    <t>Salary + Bonus</t>
  </si>
  <si>
    <t>Mobile Phones, uniforms &amp; helmets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</si>
</sst>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[$SYP]\ * #,##0_);_([$SYP]\ * \(#,##0\);_([$SYP]\ * &quot;-&quot;_);_(@_)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0"/>
        <bgColor indexed="64"/>
      </patternFill>
    </fill>
    <fill>
      <patternFill patternType="solid">
        <fgColor theme="6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2" borderId="1" applyNumberFormat="0" applyAlignment="0" applyProtection="0"/>
    <xf numFmtId="0" fontId="5" fillId="4" borderId="0" applyNumberFormat="0" applyBorder="0" applyAlignment="0" applyProtection="0"/>
    <xf numFmtId="43" fontId="2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/>
    <xf numFmtId="9" fontId="0" fillId="0" borderId="0" xfId="1" applyFont="1"/>
    <xf numFmtId="0" fontId="3" fillId="2" borderId="1" xfId="3"/>
    <xf numFmtId="9" fontId="3" fillId="2" borderId="1" xfId="3" applyNumberFormat="1"/>
    <xf numFmtId="164" fontId="3" fillId="2" borderId="1" xfId="2" applyNumberFormat="1" applyFont="1" applyFill="1" applyBorder="1"/>
    <xf numFmtId="0" fontId="0" fillId="0" borderId="0" xfId="0" applyAlignment="1">
      <alignment horizontal="center" vertical="center"/>
    </xf>
    <xf numFmtId="0" fontId="3" fillId="2" borderId="1" xfId="3" applyAlignment="1">
      <alignment horizontal="center" vertical="center"/>
    </xf>
    <xf numFmtId="164" fontId="3" fillId="2" borderId="1" xfId="3" applyNumberFormat="1"/>
    <xf numFmtId="164" fontId="0" fillId="0" borderId="0" xfId="0" applyNumberFormat="1"/>
    <xf numFmtId="164" fontId="1" fillId="0" borderId="0" xfId="0" applyNumberFormat="1" applyFont="1"/>
    <xf numFmtId="164" fontId="3" fillId="3" borderId="1" xfId="3" applyNumberFormat="1" applyFill="1"/>
    <xf numFmtId="164" fontId="3" fillId="3" borderId="1" xfId="2" applyNumberFormat="1" applyFont="1" applyFill="1" applyBorder="1"/>
    <xf numFmtId="0" fontId="4" fillId="2" borderId="1" xfId="3" applyFont="1"/>
    <xf numFmtId="165" fontId="3" fillId="2" borderId="1" xfId="3" applyNumberFormat="1"/>
    <xf numFmtId="9" fontId="0" fillId="0" borderId="0" xfId="1" applyFont="1" applyAlignment="1">
      <alignment horizontal="center" vertical="center"/>
    </xf>
    <xf numFmtId="0" fontId="3" fillId="2" borderId="1" xfId="3" applyAlignment="1">
      <alignment horizontal="center"/>
    </xf>
    <xf numFmtId="0" fontId="0" fillId="0" borderId="0" xfId="0" applyAlignment="1">
      <alignment wrapText="1"/>
    </xf>
    <xf numFmtId="0" fontId="5" fillId="4" borderId="0" xfId="4" applyAlignment="1">
      <alignment horizontal="center" vertical="center" wrapText="1"/>
    </xf>
    <xf numFmtId="9" fontId="3" fillId="2" borderId="1" xfId="1" applyFont="1" applyFill="1" applyBorder="1"/>
    <xf numFmtId="166" fontId="0" fillId="0" borderId="0" xfId="5" applyNumberFormat="1" applyFont="1"/>
    <xf numFmtId="165" fontId="0" fillId="0" borderId="0" xfId="0" applyNumberFormat="1"/>
    <xf numFmtId="164" fontId="0" fillId="0" borderId="0" xfId="2" applyNumberFormat="1" applyFont="1"/>
    <xf numFmtId="164" fontId="6" fillId="5" borderId="0" xfId="6" applyNumberFormat="1"/>
    <xf numFmtId="9" fontId="6" fillId="5" borderId="0" xfId="6" applyNumberFormat="1"/>
    <xf numFmtId="166" fontId="3" fillId="2" borderId="1" xfId="3" applyNumberFormat="1"/>
  </cellXfs>
  <cellStyles count="7">
    <cellStyle name="Accent3" xfId="4" builtinId="37"/>
    <cellStyle name="Comma" xfId="5" builtinId="3"/>
    <cellStyle name="Currency" xfId="2" builtinId="4"/>
    <cellStyle name="Good" xfId="6" builtinId="26"/>
    <cellStyle name="Input" xfId="3" builtinId="20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'Cash FLow'!$N$8</c:f>
              <c:strCache>
                <c:ptCount val="1"/>
                <c:pt idx="0">
                  <c:v>Ending Cash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'Cash FLow'!$A$9:$A$68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'Cash FLow'!$N$9:$N$68</c:f>
              <c:numCache>
                <c:formatCode>_("$"* #,##0_);_("$"* \(#,##0\);_("$"* "-"??_);_(@_)</c:formatCode>
                <c:ptCount val="60"/>
                <c:pt idx="0">
                  <c:v>3374.242424242424</c:v>
                </c:pt>
                <c:pt idx="1">
                  <c:v>13784.848484848488</c:v>
                </c:pt>
                <c:pt idx="2">
                  <c:v>24195.454545454551</c:v>
                </c:pt>
                <c:pt idx="3">
                  <c:v>34606.060606060615</c:v>
                </c:pt>
                <c:pt idx="4">
                  <c:v>45016.666666666679</c:v>
                </c:pt>
                <c:pt idx="5">
                  <c:v>55427.272727272742</c:v>
                </c:pt>
                <c:pt idx="6">
                  <c:v>65837.878787878813</c:v>
                </c:pt>
                <c:pt idx="7">
                  <c:v>76248.484848484877</c:v>
                </c:pt>
                <c:pt idx="8">
                  <c:v>86659.090909090941</c:v>
                </c:pt>
                <c:pt idx="9">
                  <c:v>97069.696969697005</c:v>
                </c:pt>
                <c:pt idx="10">
                  <c:v>107480.30303030307</c:v>
                </c:pt>
                <c:pt idx="11">
                  <c:v>-522.72727272720658</c:v>
                </c:pt>
                <c:pt idx="12">
                  <c:v>33915.151515151592</c:v>
                </c:pt>
                <c:pt idx="13">
                  <c:v>68353.030303030391</c:v>
                </c:pt>
                <c:pt idx="14">
                  <c:v>102790.90909090919</c:v>
                </c:pt>
                <c:pt idx="15">
                  <c:v>137228.78787878799</c:v>
                </c:pt>
                <c:pt idx="16">
                  <c:v>171666.6666666668</c:v>
                </c:pt>
                <c:pt idx="17">
                  <c:v>206104.54545454559</c:v>
                </c:pt>
                <c:pt idx="18">
                  <c:v>240542.42424242437</c:v>
                </c:pt>
                <c:pt idx="19">
                  <c:v>274980.30303030316</c:v>
                </c:pt>
                <c:pt idx="20">
                  <c:v>309418.18181818194</c:v>
                </c:pt>
                <c:pt idx="21">
                  <c:v>343856.06060606072</c:v>
                </c:pt>
                <c:pt idx="22">
                  <c:v>378293.93939393951</c:v>
                </c:pt>
                <c:pt idx="23">
                  <c:v>60530.303030303156</c:v>
                </c:pt>
                <c:pt idx="24">
                  <c:v>163533.33333333349</c:v>
                </c:pt>
                <c:pt idx="25">
                  <c:v>266536.36363636382</c:v>
                </c:pt>
                <c:pt idx="26">
                  <c:v>369539.39393939415</c:v>
                </c:pt>
                <c:pt idx="27">
                  <c:v>472542.42424242449</c:v>
                </c:pt>
                <c:pt idx="28">
                  <c:v>575545.45454545482</c:v>
                </c:pt>
                <c:pt idx="29">
                  <c:v>678548.4848484851</c:v>
                </c:pt>
                <c:pt idx="30">
                  <c:v>781551.51515151537</c:v>
                </c:pt>
                <c:pt idx="31">
                  <c:v>884554.54545454565</c:v>
                </c:pt>
                <c:pt idx="32">
                  <c:v>987557.57575757592</c:v>
                </c:pt>
                <c:pt idx="33">
                  <c:v>1090560.6060606062</c:v>
                </c:pt>
                <c:pt idx="34">
                  <c:v>1193563.6363636365</c:v>
                </c:pt>
                <c:pt idx="35">
                  <c:v>1045577.2727272729</c:v>
                </c:pt>
                <c:pt idx="36">
                  <c:v>1199034.8484848486</c:v>
                </c:pt>
                <c:pt idx="37">
                  <c:v>1352492.4242424243</c:v>
                </c:pt>
                <c:pt idx="38">
                  <c:v>1505950</c:v>
                </c:pt>
                <c:pt idx="39">
                  <c:v>1659407.5757575757</c:v>
                </c:pt>
                <c:pt idx="40">
                  <c:v>1812865.1515151514</c:v>
                </c:pt>
                <c:pt idx="41">
                  <c:v>1966322.7272727271</c:v>
                </c:pt>
                <c:pt idx="42">
                  <c:v>2119780.3030303027</c:v>
                </c:pt>
                <c:pt idx="43">
                  <c:v>2273237.8787878784</c:v>
                </c:pt>
                <c:pt idx="44">
                  <c:v>2426695.4545454541</c:v>
                </c:pt>
                <c:pt idx="45">
                  <c:v>2580153.0303030298</c:v>
                </c:pt>
                <c:pt idx="46">
                  <c:v>2733610.6060606055</c:v>
                </c:pt>
                <c:pt idx="47">
                  <c:v>2799866.666666666</c:v>
                </c:pt>
                <c:pt idx="48">
                  <c:v>2953324.2424242417</c:v>
                </c:pt>
                <c:pt idx="49">
                  <c:v>3106781.8181818174</c:v>
                </c:pt>
                <c:pt idx="50">
                  <c:v>3260239.3939393931</c:v>
                </c:pt>
                <c:pt idx="51">
                  <c:v>3413696.9696969688</c:v>
                </c:pt>
                <c:pt idx="52">
                  <c:v>3567154.5454545445</c:v>
                </c:pt>
                <c:pt idx="53">
                  <c:v>3720612.1212121202</c:v>
                </c:pt>
                <c:pt idx="54">
                  <c:v>3874069.6969696959</c:v>
                </c:pt>
                <c:pt idx="55">
                  <c:v>4027527.2727272715</c:v>
                </c:pt>
                <c:pt idx="56">
                  <c:v>4180984.8484848472</c:v>
                </c:pt>
                <c:pt idx="57">
                  <c:v>4334442.4242424229</c:v>
                </c:pt>
                <c:pt idx="58">
                  <c:v>4487899.9999999991</c:v>
                </c:pt>
                <c:pt idx="59">
                  <c:v>4641357.5757575752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A3-4DEA-BC88-AEE35BB31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5033583"/>
        <c:axId val="675033999"/>
      </c:lineChart>
      <c:catAx>
        <c:axId val="67503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033999"/>
        <c:crosses val="autoZero"/>
        <c:auto val="1"/>
        <c:lblAlgn val="ctr"/>
        <c:lblOffset val="100"/>
        <c:noMultiLvlLbl val="0"/>
      </c:catAx>
      <c:valAx>
        <c:axId val="67503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03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542925</xdr:colOff>
      <xdr:row>7</xdr:row>
      <xdr:rowOff>266699</xdr:rowOff>
    </xdr:from>
    <xdr:to>
      <xdr:col>33</xdr:col>
      <xdr:colOff>47625</xdr:colOff>
      <xdr:row>36</xdr:row>
      <xdr:rowOff>180974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P76"/>
  <sheetViews>
    <sheetView tabSelected="1" workbookViewId="0">
      <selection activeCell="I35" sqref="I35"/>
    </sheetView>
  </sheetViews>
  <sheetFormatPr defaultRowHeight="15" x14ac:dyDescent="0.25"/>
  <cols>
    <col min="3" max="3" width="13.28515625" style="6" customWidth="1"/>
    <col min="4" max="4" width="12.85546875" customWidth="1"/>
    <col min="5" max="5" width="12.5703125" bestFit="1" customWidth="1"/>
    <col min="11" max="11" width="25.85546875" customWidth="1"/>
    <col min="12" max="16" width="12.7109375" customWidth="1"/>
  </cols>
  <sheetData>
    <row r="1" spans="1:16" x14ac:dyDescent="0.25">
      <c r="A1" t="s">
        <v>30</v>
      </c>
      <c r="B1" s="14">
        <v>132</v>
      </c>
    </row>
    <row r="2" spans="1:16" x14ac:dyDescent="0.25">
      <c r="K2" t="s">
        <v>32</v>
      </c>
      <c r="L2" t="s">
        <v>41</v>
      </c>
      <c r="N2" t="s">
        <v>42</v>
      </c>
    </row>
    <row r="3" spans="1:16" x14ac:dyDescent="0.25">
      <c r="K3" t="s">
        <v>43</v>
      </c>
      <c r="L3" s="16">
        <v>1</v>
      </c>
      <c r="M3" s="16">
        <v>1</v>
      </c>
      <c r="N3" s="16">
        <v>2</v>
      </c>
      <c r="O3" s="16">
        <v>2</v>
      </c>
      <c r="P3" s="16">
        <v>2</v>
      </c>
    </row>
    <row r="4" spans="1:16" x14ac:dyDescent="0.25">
      <c r="K4" t="s">
        <v>40</v>
      </c>
      <c r="L4" s="7">
        <v>1</v>
      </c>
      <c r="M4" s="7">
        <v>2</v>
      </c>
      <c r="N4" s="7">
        <v>3</v>
      </c>
      <c r="O4" s="7">
        <v>4</v>
      </c>
      <c r="P4" s="7">
        <v>5</v>
      </c>
    </row>
    <row r="5" spans="1:16" x14ac:dyDescent="0.25">
      <c r="L5" s="15"/>
      <c r="M5" s="15"/>
      <c r="N5" s="15"/>
      <c r="O5" s="15"/>
      <c r="P5" s="15"/>
    </row>
    <row r="6" spans="1:16" x14ac:dyDescent="0.25">
      <c r="A6" s="1" t="s">
        <v>17</v>
      </c>
    </row>
    <row r="7" spans="1:16" x14ac:dyDescent="0.25">
      <c r="A7" t="s">
        <v>10</v>
      </c>
      <c r="D7" s="4">
        <v>0.1</v>
      </c>
      <c r="K7" s="1" t="s">
        <v>18</v>
      </c>
      <c r="L7" s="13">
        <v>50</v>
      </c>
      <c r="M7" s="13">
        <v>100</v>
      </c>
      <c r="N7" s="13">
        <v>250</v>
      </c>
      <c r="O7" s="13">
        <v>350</v>
      </c>
      <c r="P7" s="13">
        <v>350</v>
      </c>
    </row>
    <row r="8" spans="1:16" x14ac:dyDescent="0.25">
      <c r="A8" t="s">
        <v>12</v>
      </c>
      <c r="D8" s="14">
        <v>150</v>
      </c>
      <c r="K8" t="s">
        <v>35</v>
      </c>
      <c r="L8" s="3">
        <v>2</v>
      </c>
      <c r="M8" s="3">
        <v>4</v>
      </c>
      <c r="N8" s="3">
        <v>8</v>
      </c>
      <c r="O8" s="3">
        <v>8</v>
      </c>
      <c r="P8" s="3">
        <v>8</v>
      </c>
    </row>
    <row r="9" spans="1:16" x14ac:dyDescent="0.25">
      <c r="A9" t="s">
        <v>0</v>
      </c>
      <c r="D9" s="8">
        <v>10</v>
      </c>
      <c r="K9" t="s">
        <v>4</v>
      </c>
      <c r="L9" s="3">
        <v>2</v>
      </c>
      <c r="M9" s="3">
        <v>2</v>
      </c>
      <c r="N9" s="3">
        <v>6</v>
      </c>
      <c r="O9" s="3">
        <v>6</v>
      </c>
      <c r="P9" s="3">
        <v>6</v>
      </c>
    </row>
    <row r="10" spans="1:16" x14ac:dyDescent="0.25">
      <c r="A10" t="s">
        <v>11</v>
      </c>
      <c r="D10" s="3">
        <v>15</v>
      </c>
      <c r="K10" t="s">
        <v>36</v>
      </c>
      <c r="L10" s="3">
        <v>2</v>
      </c>
      <c r="M10" s="3">
        <v>2</v>
      </c>
      <c r="N10" s="3">
        <v>5</v>
      </c>
      <c r="O10" s="3">
        <v>5</v>
      </c>
      <c r="P10" s="3">
        <v>5</v>
      </c>
    </row>
    <row r="11" spans="1:16" x14ac:dyDescent="0.25">
      <c r="K11" t="s">
        <v>38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</row>
    <row r="12" spans="1:16" x14ac:dyDescent="0.25">
      <c r="K12" t="s">
        <v>15</v>
      </c>
      <c r="L12" s="3">
        <f>L3</f>
        <v>1</v>
      </c>
      <c r="M12" s="3">
        <v>2</v>
      </c>
      <c r="N12" s="3">
        <v>4</v>
      </c>
      <c r="O12" s="3">
        <v>4</v>
      </c>
      <c r="P12" s="3">
        <v>4</v>
      </c>
    </row>
    <row r="13" spans="1:16" x14ac:dyDescent="0.25">
      <c r="K13" t="s">
        <v>16</v>
      </c>
      <c r="L13" s="3">
        <f>L3</f>
        <v>1</v>
      </c>
      <c r="M13" s="3">
        <f t="shared" ref="M13" si="0">M3</f>
        <v>1</v>
      </c>
      <c r="N13" s="3">
        <v>3</v>
      </c>
      <c r="O13" s="3">
        <v>3</v>
      </c>
      <c r="P13" s="3">
        <v>3</v>
      </c>
    </row>
    <row r="15" spans="1:16" x14ac:dyDescent="0.25">
      <c r="K15" t="s">
        <v>33</v>
      </c>
      <c r="L15" s="25">
        <v>0</v>
      </c>
      <c r="M15" s="25">
        <v>500000</v>
      </c>
      <c r="N15" s="25">
        <v>1000000</v>
      </c>
      <c r="O15" s="25">
        <v>1500000</v>
      </c>
      <c r="P15" s="25">
        <v>1500000</v>
      </c>
    </row>
    <row r="16" spans="1:16" x14ac:dyDescent="0.25">
      <c r="C16"/>
      <c r="K16" t="s">
        <v>59</v>
      </c>
      <c r="L16" s="20">
        <f>L7*$D$10*30</f>
        <v>22500</v>
      </c>
      <c r="M16" s="20">
        <f>M7*$D$10*30</f>
        <v>45000</v>
      </c>
      <c r="N16" s="20">
        <f>N7*$D$10*30</f>
        <v>112500</v>
      </c>
      <c r="O16" s="20">
        <f>O7*$D$10*30</f>
        <v>157500</v>
      </c>
      <c r="P16" s="20">
        <f>P7*$D$10*30</f>
        <v>157500</v>
      </c>
    </row>
    <row r="17" spans="1:16" x14ac:dyDescent="0.25">
      <c r="C17"/>
      <c r="K17" t="s">
        <v>9</v>
      </c>
      <c r="L17" s="9">
        <f>L7*30*$D$10*($D$9*$D$7+$D$8/$B$1)</f>
        <v>48068.181818181823</v>
      </c>
      <c r="M17" s="9">
        <f>M7*30*$D$10*($D$9*$D$7+$D$8/$B$1)</f>
        <v>96136.363636363647</v>
      </c>
      <c r="N17" s="9">
        <f>N7*30*$D$10*($D$9*$D$7+$D$8/$B$1)</f>
        <v>240340.90909090912</v>
      </c>
      <c r="O17" s="9">
        <f>O7*30*$D$10*($D$9*$D$7+$D$8/$B$1)</f>
        <v>336477.27272727276</v>
      </c>
      <c r="P17" s="9">
        <f>P7*30*$D$10*($D$9*$D$7+$D$8/$B$1)</f>
        <v>336477.27272727276</v>
      </c>
    </row>
    <row r="18" spans="1:16" x14ac:dyDescent="0.25">
      <c r="A18" s="1" t="s">
        <v>46</v>
      </c>
      <c r="L18" s="9"/>
      <c r="M18" s="9"/>
      <c r="N18" s="9"/>
      <c r="O18" s="9"/>
      <c r="P18" s="9"/>
    </row>
    <row r="19" spans="1:16" x14ac:dyDescent="0.25">
      <c r="A19" t="s">
        <v>14</v>
      </c>
      <c r="D19" s="3">
        <v>5</v>
      </c>
    </row>
    <row r="20" spans="1:16" x14ac:dyDescent="0.25">
      <c r="A20" t="s">
        <v>13</v>
      </c>
      <c r="C20" s="7">
        <f>L7</f>
        <v>50</v>
      </c>
      <c r="D20" s="5">
        <v>1300</v>
      </c>
      <c r="L20" s="9">
        <f>-$D$20*L7/$D$19/12</f>
        <v>-1083.3333333333333</v>
      </c>
      <c r="M20" s="9">
        <f>-$D$20*M7/$D$19/12</f>
        <v>-2166.6666666666665</v>
      </c>
      <c r="N20" s="9">
        <f>-$D$20*N7/$D$19/12</f>
        <v>-5416.666666666667</v>
      </c>
      <c r="O20" s="9">
        <f>-$D$20*O7/$D$19/12</f>
        <v>-7583.333333333333</v>
      </c>
      <c r="P20" s="9">
        <f>-$D$20*P7/$D$19/12</f>
        <v>-7583.333333333333</v>
      </c>
    </row>
    <row r="21" spans="1:16" x14ac:dyDescent="0.25">
      <c r="A21" t="s">
        <v>6</v>
      </c>
      <c r="D21" s="5">
        <v>5000</v>
      </c>
      <c r="L21" s="9">
        <f>-$D$21/$D$19/12*L3</f>
        <v>-83.333333333333329</v>
      </c>
      <c r="M21" s="9">
        <f>-$D$21/$D$19/12*M3</f>
        <v>-83.333333333333329</v>
      </c>
      <c r="N21" s="9">
        <f>-$D$21/$D$19/12*N3</f>
        <v>-166.66666666666666</v>
      </c>
      <c r="O21" s="9">
        <f>-$D$21/$D$19/12*O3</f>
        <v>-166.66666666666666</v>
      </c>
      <c r="P21" s="9">
        <f>-$D$21/$D$19/12*P3</f>
        <v>-166.66666666666666</v>
      </c>
    </row>
    <row r="22" spans="1:16" x14ac:dyDescent="0.25">
      <c r="A22" t="s">
        <v>5</v>
      </c>
      <c r="D22" s="5">
        <v>10000</v>
      </c>
      <c r="L22" s="9">
        <f>-$D$22/$D$19/12*L3</f>
        <v>-166.66666666666666</v>
      </c>
      <c r="M22" s="9">
        <f>-$D$22/$D$19/12*M3</f>
        <v>-166.66666666666666</v>
      </c>
      <c r="N22" s="9">
        <f>-$D$22/$D$19/12*N3</f>
        <v>-333.33333333333331</v>
      </c>
      <c r="O22" s="9">
        <f>-$D$22/$D$19/12*O3</f>
        <v>-333.33333333333331</v>
      </c>
      <c r="P22" s="9">
        <f>-$D$22/$D$19/12*P3</f>
        <v>-333.33333333333331</v>
      </c>
    </row>
    <row r="23" spans="1:16" x14ac:dyDescent="0.25">
      <c r="A23" t="s">
        <v>21</v>
      </c>
      <c r="D23" s="8">
        <v>15000</v>
      </c>
      <c r="L23" s="9">
        <f>-$D$23/$D$19/12*L3</f>
        <v>-250</v>
      </c>
      <c r="M23" s="9">
        <f>-$D$23/$D$19/12*M3</f>
        <v>-250</v>
      </c>
      <c r="N23" s="9">
        <f>-$D$23/$D$19/12*N3</f>
        <v>-500</v>
      </c>
      <c r="O23" s="9">
        <f>-$D$23/$D$19/12*O3</f>
        <v>-500</v>
      </c>
      <c r="P23" s="9">
        <f>-$D$23/$D$19/12*P3</f>
        <v>-500</v>
      </c>
    </row>
    <row r="24" spans="1:16" x14ac:dyDescent="0.25">
      <c r="A24" t="s">
        <v>1</v>
      </c>
      <c r="D24" s="8">
        <v>2000</v>
      </c>
      <c r="L24" s="9">
        <f>-$D$24/$D$19/12</f>
        <v>-33.333333333333336</v>
      </c>
      <c r="M24" s="9">
        <f>-$D$24/$D$19/12</f>
        <v>-33.333333333333336</v>
      </c>
      <c r="N24" s="9">
        <f>-$D$24/$D$19/12</f>
        <v>-33.333333333333336</v>
      </c>
      <c r="O24" s="9">
        <f>-$D$24/$D$19/12</f>
        <v>-33.333333333333336</v>
      </c>
      <c r="P24" s="9">
        <f>-$D$24/$D$19/12</f>
        <v>-33.333333333333336</v>
      </c>
    </row>
    <row r="25" spans="1:16" x14ac:dyDescent="0.25">
      <c r="A25" t="s">
        <v>27</v>
      </c>
      <c r="D25" s="8">
        <v>5000</v>
      </c>
      <c r="L25" s="9">
        <f>-$D$25/$D$19/12*L3</f>
        <v>-83.333333333333329</v>
      </c>
      <c r="M25" s="9">
        <f>-$D$25/$D$19/12*M3</f>
        <v>-83.333333333333329</v>
      </c>
      <c r="N25" s="9">
        <f>-$D$25/$D$19/12*N3</f>
        <v>-166.66666666666666</v>
      </c>
      <c r="O25" s="9">
        <f>-$D$25/$D$19/12*O3</f>
        <v>-166.66666666666666</v>
      </c>
      <c r="P25" s="9">
        <f>-$D$25/$D$19/12*P3</f>
        <v>-166.66666666666666</v>
      </c>
    </row>
    <row r="26" spans="1:16" x14ac:dyDescent="0.25">
      <c r="A26" t="s">
        <v>66</v>
      </c>
      <c r="D26" s="8">
        <f>150+150</f>
        <v>300</v>
      </c>
      <c r="L26" s="9">
        <f>-$D$26*L7/$D$19/12</f>
        <v>-250</v>
      </c>
      <c r="M26" s="9">
        <f>-$D$26*M7/$D$19/12</f>
        <v>-500</v>
      </c>
      <c r="N26" s="9">
        <f>-$D$26*N7/$D$19/12</f>
        <v>-1250</v>
      </c>
      <c r="O26" s="9">
        <f>-$D$26*O7/$D$19/12</f>
        <v>-1750</v>
      </c>
      <c r="P26" s="9">
        <f>-$D$26*P7/$D$19/12</f>
        <v>-1750</v>
      </c>
    </row>
    <row r="27" spans="1:16" x14ac:dyDescent="0.25">
      <c r="A27" t="s">
        <v>45</v>
      </c>
      <c r="C27" s="14">
        <v>500000</v>
      </c>
      <c r="D27" s="11">
        <f>C27/B1</f>
        <v>3787.878787878788</v>
      </c>
      <c r="L27" s="9">
        <f>-$D$27/$D$19/12</f>
        <v>-63.131313131313135</v>
      </c>
      <c r="M27" s="9">
        <f t="shared" ref="M27:P27" si="1">-$D$27/$D$19/12</f>
        <v>-63.131313131313135</v>
      </c>
      <c r="N27" s="9">
        <f t="shared" si="1"/>
        <v>-63.131313131313135</v>
      </c>
      <c r="O27" s="9">
        <f t="shared" si="1"/>
        <v>-63.131313131313135</v>
      </c>
      <c r="P27" s="9">
        <f t="shared" si="1"/>
        <v>-63.131313131313135</v>
      </c>
    </row>
    <row r="28" spans="1:16" x14ac:dyDescent="0.25">
      <c r="D28" s="10">
        <f>SUM(D21:D25)+D27+D20*C20+C20*D26</f>
        <v>120787.87878787878</v>
      </c>
      <c r="E28" s="10">
        <f>D28-SUM(L31:L37)*12</f>
        <v>146625.75757575757</v>
      </c>
    </row>
    <row r="30" spans="1:16" x14ac:dyDescent="0.25">
      <c r="A30" s="1" t="s">
        <v>56</v>
      </c>
    </row>
    <row r="31" spans="1:16" x14ac:dyDescent="0.25">
      <c r="A31" t="s">
        <v>19</v>
      </c>
      <c r="D31" s="5">
        <v>10000</v>
      </c>
      <c r="E31" t="s">
        <v>24</v>
      </c>
      <c r="L31" s="9">
        <f>-$D$31/12*L$3</f>
        <v>-833.33333333333337</v>
      </c>
      <c r="M31" s="9">
        <f>-$D$31/12*M$3</f>
        <v>-833.33333333333337</v>
      </c>
      <c r="N31" s="9">
        <f>-$D$31/12*N$3</f>
        <v>-1666.6666666666667</v>
      </c>
      <c r="O31" s="9">
        <f>-$D$31/12*O$3</f>
        <v>-1666.6666666666667</v>
      </c>
      <c r="P31" s="9">
        <f>-$D$31/12*P$3</f>
        <v>-1666.6666666666667</v>
      </c>
    </row>
    <row r="32" spans="1:16" x14ac:dyDescent="0.25">
      <c r="A32" t="s">
        <v>20</v>
      </c>
      <c r="D32" s="5">
        <v>10000</v>
      </c>
      <c r="E32" t="s">
        <v>24</v>
      </c>
      <c r="L32" s="9">
        <f>-$D$32/12*L$3</f>
        <v>-833.33333333333337</v>
      </c>
      <c r="M32" s="9">
        <f>-$D$32/12*M$3</f>
        <v>-833.33333333333337</v>
      </c>
      <c r="N32" s="9">
        <f>-$D$32/12*N$3</f>
        <v>-1666.6666666666667</v>
      </c>
      <c r="O32" s="9">
        <f>-$D$32/12*O$3</f>
        <v>-1666.6666666666667</v>
      </c>
      <c r="P32" s="9">
        <f>-$D$32/12*P$3</f>
        <v>-1666.6666666666667</v>
      </c>
    </row>
    <row r="33" spans="1:16" x14ac:dyDescent="0.25">
      <c r="A33" t="s">
        <v>28</v>
      </c>
      <c r="C33"/>
      <c r="D33" s="5">
        <v>300</v>
      </c>
      <c r="E33" t="s">
        <v>24</v>
      </c>
      <c r="L33" s="9">
        <f>-$D$33/12</f>
        <v>-25</v>
      </c>
      <c r="M33" s="9">
        <f t="shared" ref="M33:P33" si="2">-$D$33/12</f>
        <v>-25</v>
      </c>
      <c r="N33" s="9">
        <f t="shared" si="2"/>
        <v>-25</v>
      </c>
      <c r="O33" s="9">
        <f t="shared" si="2"/>
        <v>-25</v>
      </c>
      <c r="P33" s="9">
        <f t="shared" si="2"/>
        <v>-25</v>
      </c>
    </row>
    <row r="34" spans="1:16" x14ac:dyDescent="0.25">
      <c r="A34" t="s">
        <v>29</v>
      </c>
      <c r="D34" s="5">
        <v>500</v>
      </c>
      <c r="E34" t="s">
        <v>31</v>
      </c>
      <c r="L34" s="9">
        <f>-$D$34/12</f>
        <v>-41.666666666666664</v>
      </c>
      <c r="M34" s="9">
        <f t="shared" ref="M34:P34" si="3">-$D$34/12</f>
        <v>-41.666666666666664</v>
      </c>
      <c r="N34" s="9">
        <f t="shared" si="3"/>
        <v>-41.666666666666664</v>
      </c>
      <c r="O34" s="9">
        <f t="shared" si="3"/>
        <v>-41.666666666666664</v>
      </c>
      <c r="P34" s="9">
        <f t="shared" si="3"/>
        <v>-41.666666666666664</v>
      </c>
    </row>
    <row r="35" spans="1:16" x14ac:dyDescent="0.25">
      <c r="A35" t="s">
        <v>37</v>
      </c>
      <c r="C35" s="14">
        <v>5000</v>
      </c>
      <c r="D35" s="12">
        <f>C35/B1</f>
        <v>37.878787878787875</v>
      </c>
      <c r="E35" t="s">
        <v>24</v>
      </c>
      <c r="L35" s="9">
        <f>-$D$35/12</f>
        <v>-3.1565656565656561</v>
      </c>
      <c r="M35" s="9">
        <f t="shared" ref="M35:P35" si="4">-$D$35/12</f>
        <v>-3.1565656565656561</v>
      </c>
      <c r="N35" s="9">
        <f t="shared" si="4"/>
        <v>-3.1565656565656561</v>
      </c>
      <c r="O35" s="9">
        <f t="shared" si="4"/>
        <v>-3.1565656565656561</v>
      </c>
      <c r="P35" s="9">
        <f t="shared" si="4"/>
        <v>-3.1565656565656561</v>
      </c>
    </row>
    <row r="36" spans="1:16" x14ac:dyDescent="0.25">
      <c r="A36" t="s">
        <v>25</v>
      </c>
      <c r="D36" s="5">
        <v>100</v>
      </c>
      <c r="E36" t="s">
        <v>24</v>
      </c>
      <c r="L36" s="9">
        <f>-$D$36/12*L7</f>
        <v>-416.66666666666669</v>
      </c>
      <c r="M36" s="9">
        <f>-$D$36/12*M7</f>
        <v>-833.33333333333337</v>
      </c>
      <c r="N36" s="9">
        <f>-$D$36/12*N7</f>
        <v>-2083.3333333333335</v>
      </c>
      <c r="O36" s="9">
        <f>-$D$36/12*O7</f>
        <v>-2916.666666666667</v>
      </c>
      <c r="P36" s="9">
        <f>-$D$36/12*P7</f>
        <v>-2916.666666666667</v>
      </c>
    </row>
    <row r="37" spans="1:16" x14ac:dyDescent="0.25">
      <c r="A37" t="s">
        <v>26</v>
      </c>
      <c r="D37" s="3">
        <v>0</v>
      </c>
      <c r="E37" t="s">
        <v>24</v>
      </c>
      <c r="L37" s="9">
        <f>-$D$37/12*L7</f>
        <v>0</v>
      </c>
      <c r="M37" s="9">
        <f>-$D$37/12*M7</f>
        <v>0</v>
      </c>
      <c r="N37" s="9">
        <f>-$D$37/12*N7</f>
        <v>0</v>
      </c>
      <c r="O37" s="9">
        <f>-$D$37/12*O7</f>
        <v>0</v>
      </c>
      <c r="P37" s="9">
        <f>-$D$37/12*P7</f>
        <v>0</v>
      </c>
    </row>
    <row r="38" spans="1:16" x14ac:dyDescent="0.25">
      <c r="A38" t="s">
        <v>33</v>
      </c>
      <c r="L38" s="9">
        <f>-L15/$B$1/12</f>
        <v>0</v>
      </c>
      <c r="M38" s="9">
        <f>-M15/$B$1/12</f>
        <v>-315.65656565656565</v>
      </c>
      <c r="N38" s="9">
        <f t="shared" ref="N38:P38" si="5">-N15/$B$1/12</f>
        <v>-631.31313131313129</v>
      </c>
      <c r="O38" s="9">
        <f t="shared" si="5"/>
        <v>-946.969696969697</v>
      </c>
      <c r="P38" s="9">
        <f t="shared" si="5"/>
        <v>-946.969696969697</v>
      </c>
    </row>
    <row r="39" spans="1:16" x14ac:dyDescent="0.25">
      <c r="D39" s="10">
        <f>SUM(D31:D35)</f>
        <v>20837.878787878788</v>
      </c>
    </row>
    <row r="40" spans="1:16" x14ac:dyDescent="0.25">
      <c r="D40" s="10"/>
    </row>
    <row r="41" spans="1:16" x14ac:dyDescent="0.25">
      <c r="A41" s="1" t="s">
        <v>57</v>
      </c>
      <c r="D41" s="10"/>
    </row>
    <row r="42" spans="1:16" x14ac:dyDescent="0.25">
      <c r="A42" t="s">
        <v>58</v>
      </c>
      <c r="D42" s="8">
        <v>500</v>
      </c>
      <c r="E42" t="s">
        <v>47</v>
      </c>
      <c r="L42" s="9">
        <f>-$D$42*L3</f>
        <v>-500</v>
      </c>
      <c r="M42" s="9">
        <f t="shared" ref="M42:P42" si="6">-$D$42*M3</f>
        <v>-500</v>
      </c>
      <c r="N42" s="9">
        <f t="shared" si="6"/>
        <v>-1000</v>
      </c>
      <c r="O42" s="9">
        <f t="shared" si="6"/>
        <v>-1000</v>
      </c>
      <c r="P42" s="9">
        <f t="shared" si="6"/>
        <v>-1000</v>
      </c>
    </row>
    <row r="43" spans="1:16" x14ac:dyDescent="0.25">
      <c r="A43" t="s">
        <v>23</v>
      </c>
      <c r="D43" s="5">
        <v>5000</v>
      </c>
      <c r="E43" t="s">
        <v>24</v>
      </c>
      <c r="L43" s="9">
        <f>-$D$43/12*L$3</f>
        <v>-416.66666666666669</v>
      </c>
      <c r="M43" s="9">
        <f>-$D$43/12*M$3</f>
        <v>-416.66666666666669</v>
      </c>
      <c r="N43" s="9">
        <f>-$D$43/12*N$3</f>
        <v>-833.33333333333337</v>
      </c>
      <c r="O43" s="9">
        <f>-$D$43/12*O$3</f>
        <v>-833.33333333333337</v>
      </c>
      <c r="P43" s="9">
        <f>-$D$43/12*P$3</f>
        <v>-833.33333333333337</v>
      </c>
    </row>
    <row r="46" spans="1:16" x14ac:dyDescent="0.25">
      <c r="A46" s="1" t="s">
        <v>22</v>
      </c>
    </row>
    <row r="47" spans="1:16" x14ac:dyDescent="0.25">
      <c r="A47" t="s">
        <v>2</v>
      </c>
      <c r="C47"/>
      <c r="D47" s="8">
        <f>'Rider Salary Calculation'!B11+D10*30*D8*E47/B1</f>
        <v>405.68181818181819</v>
      </c>
      <c r="E47" s="2">
        <f>'Rider Salary Calculation'!B13</f>
        <v>0.5</v>
      </c>
      <c r="F47" t="s">
        <v>63</v>
      </c>
      <c r="L47" s="9">
        <f t="shared" ref="L47:P53" si="7">-$D47*L7</f>
        <v>-20284.090909090908</v>
      </c>
      <c r="M47" s="9">
        <f t="shared" si="7"/>
        <v>-40568.181818181816</v>
      </c>
      <c r="N47" s="9">
        <f t="shared" si="7"/>
        <v>-101420.45454545454</v>
      </c>
      <c r="O47" s="9">
        <f t="shared" si="7"/>
        <v>-141988.63636363635</v>
      </c>
      <c r="P47" s="9">
        <f t="shared" si="7"/>
        <v>-141988.63636363635</v>
      </c>
    </row>
    <row r="48" spans="1:16" x14ac:dyDescent="0.25">
      <c r="A48" t="s">
        <v>7</v>
      </c>
      <c r="C48"/>
      <c r="D48" s="8">
        <v>400</v>
      </c>
      <c r="L48" s="9">
        <f t="shared" si="7"/>
        <v>-800</v>
      </c>
      <c r="M48" s="9">
        <f t="shared" si="7"/>
        <v>-1600</v>
      </c>
      <c r="N48" s="9">
        <f t="shared" si="7"/>
        <v>-3200</v>
      </c>
      <c r="O48" s="9">
        <f t="shared" si="7"/>
        <v>-3200</v>
      </c>
      <c r="P48" s="9">
        <f t="shared" si="7"/>
        <v>-3200</v>
      </c>
    </row>
    <row r="49" spans="1:16" x14ac:dyDescent="0.25">
      <c r="A49" t="s">
        <v>8</v>
      </c>
      <c r="C49"/>
      <c r="D49" s="8">
        <v>400</v>
      </c>
      <c r="L49" s="9">
        <f t="shared" si="7"/>
        <v>-800</v>
      </c>
      <c r="M49" s="9">
        <f t="shared" si="7"/>
        <v>-800</v>
      </c>
      <c r="N49" s="9">
        <f t="shared" si="7"/>
        <v>-2400</v>
      </c>
      <c r="O49" s="9">
        <f t="shared" si="7"/>
        <v>-2400</v>
      </c>
      <c r="P49" s="9">
        <f t="shared" si="7"/>
        <v>-2400</v>
      </c>
    </row>
    <row r="50" spans="1:16" x14ac:dyDescent="0.25">
      <c r="A50" t="s">
        <v>3</v>
      </c>
      <c r="C50"/>
      <c r="D50" s="8">
        <v>400</v>
      </c>
      <c r="L50" s="9">
        <f t="shared" si="7"/>
        <v>-800</v>
      </c>
      <c r="M50" s="9">
        <f t="shared" si="7"/>
        <v>-800</v>
      </c>
      <c r="N50" s="9">
        <f t="shared" si="7"/>
        <v>-2000</v>
      </c>
      <c r="O50" s="9">
        <f t="shared" si="7"/>
        <v>-2000</v>
      </c>
      <c r="P50" s="9">
        <f t="shared" si="7"/>
        <v>-2000</v>
      </c>
    </row>
    <row r="51" spans="1:16" x14ac:dyDescent="0.25">
      <c r="A51" t="s">
        <v>39</v>
      </c>
      <c r="C51"/>
      <c r="D51" s="8">
        <v>600</v>
      </c>
      <c r="L51" s="9">
        <f t="shared" si="7"/>
        <v>-600</v>
      </c>
      <c r="M51" s="9">
        <f t="shared" si="7"/>
        <v>-600</v>
      </c>
      <c r="N51" s="9">
        <f t="shared" si="7"/>
        <v>-600</v>
      </c>
      <c r="O51" s="9">
        <f t="shared" si="7"/>
        <v>-600</v>
      </c>
      <c r="P51" s="9">
        <f t="shared" si="7"/>
        <v>-600</v>
      </c>
    </row>
    <row r="52" spans="1:16" x14ac:dyDescent="0.25">
      <c r="A52" t="s">
        <v>15</v>
      </c>
      <c r="C52"/>
      <c r="D52" s="8">
        <v>400</v>
      </c>
      <c r="L52" s="9">
        <f t="shared" si="7"/>
        <v>-400</v>
      </c>
      <c r="M52" s="9">
        <f t="shared" si="7"/>
        <v>-800</v>
      </c>
      <c r="N52" s="9">
        <f t="shared" si="7"/>
        <v>-1600</v>
      </c>
      <c r="O52" s="9">
        <f t="shared" si="7"/>
        <v>-1600</v>
      </c>
      <c r="P52" s="9">
        <f t="shared" si="7"/>
        <v>-1600</v>
      </c>
    </row>
    <row r="53" spans="1:16" x14ac:dyDescent="0.25">
      <c r="A53" t="s">
        <v>16</v>
      </c>
      <c r="C53"/>
      <c r="D53" s="8">
        <v>500</v>
      </c>
      <c r="L53" s="9">
        <f t="shared" si="7"/>
        <v>-500</v>
      </c>
      <c r="M53" s="9">
        <f t="shared" si="7"/>
        <v>-500</v>
      </c>
      <c r="N53" s="9">
        <f t="shared" si="7"/>
        <v>-1500</v>
      </c>
      <c r="O53" s="9">
        <f t="shared" si="7"/>
        <v>-1500</v>
      </c>
      <c r="P53" s="9">
        <f t="shared" si="7"/>
        <v>-1500</v>
      </c>
    </row>
    <row r="56" spans="1:16" x14ac:dyDescent="0.25">
      <c r="A56" t="s">
        <v>44</v>
      </c>
      <c r="D56" s="19">
        <v>0.1</v>
      </c>
      <c r="L56" s="9">
        <f>-L16*$D$8/$B$1*$D$56</f>
        <v>-2556.818181818182</v>
      </c>
      <c r="M56" s="9">
        <f>-M16*$D$8/$B$1*$D$56</f>
        <v>-5113.636363636364</v>
      </c>
      <c r="N56" s="9">
        <f>-N16*$D$8/$B$1*$D$56</f>
        <v>-12784.09090909091</v>
      </c>
      <c r="O56" s="9">
        <f>-O16*$D$8/$B$1*$D$56</f>
        <v>-17897.727272727276</v>
      </c>
      <c r="P56" s="9">
        <f>-P16*$D$8/$B$1*$D$56</f>
        <v>-17897.727272727276</v>
      </c>
    </row>
    <row r="57" spans="1:16" x14ac:dyDescent="0.25">
      <c r="C57"/>
    </row>
    <row r="58" spans="1:16" x14ac:dyDescent="0.25">
      <c r="L58" s="9"/>
      <c r="M58" s="9"/>
      <c r="N58" s="9"/>
      <c r="O58" s="9"/>
      <c r="P58" s="9"/>
    </row>
    <row r="59" spans="1:16" x14ac:dyDescent="0.25">
      <c r="M59" s="9"/>
      <c r="N59" s="9"/>
      <c r="O59" s="9"/>
      <c r="P59" s="9"/>
    </row>
    <row r="62" spans="1:16" x14ac:dyDescent="0.25">
      <c r="K62" s="1" t="s">
        <v>34</v>
      </c>
      <c r="L62" s="10">
        <f>SUM(L17:L60)</f>
        <v>16244.318181818182</v>
      </c>
      <c r="M62" s="10">
        <f>SUM(M17:M60)</f>
        <v>38205.934343434375</v>
      </c>
      <c r="N62" s="10">
        <f>SUM(N17:N60)</f>
        <v>98955.429292929344</v>
      </c>
      <c r="O62" s="10">
        <f>SUM(O17:O60)</f>
        <v>145594.31818181815</v>
      </c>
      <c r="P62" s="10">
        <f>SUM(P17:P60)</f>
        <v>145594.31818181815</v>
      </c>
    </row>
    <row r="64" spans="1:16" x14ac:dyDescent="0.25">
      <c r="L64" s="9"/>
    </row>
    <row r="66" spans="12:16" x14ac:dyDescent="0.25">
      <c r="L66" s="9"/>
    </row>
    <row r="67" spans="12:16" x14ac:dyDescent="0.25">
      <c r="M67" s="9"/>
      <c r="N67" s="9"/>
      <c r="O67" s="9"/>
      <c r="P67" s="9"/>
    </row>
    <row r="73" spans="12:16" x14ac:dyDescent="0.25">
      <c r="L73" s="9"/>
    </row>
    <row r="74" spans="12:16" x14ac:dyDescent="0.25">
      <c r="L74" s="9"/>
      <c r="M74" s="9"/>
      <c r="N74" s="9"/>
      <c r="O74" s="9"/>
      <c r="P74" s="9"/>
    </row>
    <row r="75" spans="12:16" x14ac:dyDescent="0.25">
      <c r="L75" s="9"/>
      <c r="M75" s="9"/>
      <c r="N75" s="9"/>
      <c r="O75" s="9"/>
      <c r="P75" s="9"/>
    </row>
    <row r="76" spans="12:16" x14ac:dyDescent="0.25">
      <c r="L76" s="9"/>
      <c r="M76" s="9"/>
      <c r="N76" s="9"/>
      <c r="O76" s="9"/>
      <c r="P76" s="9"/>
    </row>
  </sheetData>
  <pageMargins left="0.7" right="0.7" top="0.75" bottom="0.75" header="0.3" footer="0.3"/>
  <pageSetup paperSize="256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8:N68"/>
  <sheetViews>
    <sheetView workbookViewId="0">
      <selection activeCell="H10" sqref="H10"/>
    </sheetView>
  </sheetViews>
  <sheetFormatPr defaultRowHeight="15" x14ac:dyDescent="0.25"/>
  <cols>
    <col min="3" max="3" width="12.5703125" style="9" bestFit="1" customWidth="1"/>
    <col min="4" max="4" width="13.42578125" style="9" bestFit="1" customWidth="1"/>
    <col min="5" max="5" width="14" style="9" bestFit="1" customWidth="1"/>
    <col min="6" max="6" width="14" style="9" customWidth="1"/>
    <col min="7" max="7" width="15" style="9" bestFit="1" customWidth="1"/>
    <col min="8" max="8" width="11.28515625" style="9" bestFit="1" customWidth="1"/>
    <col min="9" max="9" width="11.28515625" style="9" customWidth="1"/>
    <col min="10" max="10" width="9.140625" style="9"/>
    <col min="11" max="11" width="10" style="9" bestFit="1" customWidth="1"/>
    <col min="12" max="12" width="9.140625" style="9"/>
    <col min="13" max="13" width="13" style="9" customWidth="1"/>
    <col min="14" max="14" width="13.140625" bestFit="1" customWidth="1"/>
  </cols>
  <sheetData>
    <row r="8" spans="1:14" s="17" customFormat="1" ht="30" x14ac:dyDescent="0.25">
      <c r="A8" s="18" t="s">
        <v>47</v>
      </c>
      <c r="B8" s="18" t="s">
        <v>40</v>
      </c>
      <c r="C8" s="18" t="s">
        <v>49</v>
      </c>
      <c r="D8" s="18" t="s">
        <v>52</v>
      </c>
      <c r="E8" s="18" t="s">
        <v>51</v>
      </c>
      <c r="F8" s="18" t="s">
        <v>55</v>
      </c>
      <c r="G8" s="18" t="s">
        <v>22</v>
      </c>
      <c r="H8" s="18" t="s">
        <v>53</v>
      </c>
      <c r="I8" s="18" t="s">
        <v>44</v>
      </c>
      <c r="J8" s="18"/>
      <c r="K8" s="18" t="s">
        <v>54</v>
      </c>
      <c r="L8" s="18"/>
      <c r="M8" s="18" t="s">
        <v>48</v>
      </c>
      <c r="N8" s="18" t="s">
        <v>50</v>
      </c>
    </row>
    <row r="9" spans="1:14" x14ac:dyDescent="0.25">
      <c r="A9">
        <v>1</v>
      </c>
      <c r="B9">
        <v>1</v>
      </c>
      <c r="C9" s="9">
        <v>150000</v>
      </c>
      <c r="D9" s="9">
        <f>SUM(Main!L20:L27)*12*Main!D19</f>
        <v>-120787.87878787878</v>
      </c>
      <c r="E9" s="9">
        <f>SUM(Main!L31:L38)*12</f>
        <v>-25837.878787878792</v>
      </c>
      <c r="M9" s="9">
        <f>SUM(C9:K9)</f>
        <v>3374.242424242424</v>
      </c>
      <c r="N9" s="9">
        <f>M9</f>
        <v>3374.242424242424</v>
      </c>
    </row>
    <row r="10" spans="1:14" x14ac:dyDescent="0.25">
      <c r="A10">
        <v>2</v>
      </c>
      <c r="B10">
        <v>1</v>
      </c>
      <c r="F10" s="9">
        <f>SUM(Main!$L$42:$L$43)</f>
        <v>-916.66666666666674</v>
      </c>
      <c r="G10" s="9">
        <f>SUM(Main!$L$47:$L$53)</f>
        <v>-24184.090909090908</v>
      </c>
      <c r="H10" s="9">
        <v>-10000</v>
      </c>
      <c r="I10" s="9">
        <f>Main!$L$58+Main!$L$56</f>
        <v>-2556.818181818182</v>
      </c>
      <c r="K10" s="9">
        <f>Main!$L$17</f>
        <v>48068.181818181823</v>
      </c>
      <c r="M10" s="9">
        <f>SUM(C10:K10)</f>
        <v>10410.606060606064</v>
      </c>
      <c r="N10" s="9">
        <f>N9+M10</f>
        <v>13784.848484848488</v>
      </c>
    </row>
    <row r="11" spans="1:14" x14ac:dyDescent="0.25">
      <c r="A11">
        <v>3</v>
      </c>
      <c r="B11">
        <v>1</v>
      </c>
      <c r="F11" s="9">
        <f>SUM(Main!$L$42:$L$43)</f>
        <v>-916.66666666666674</v>
      </c>
      <c r="G11" s="9">
        <f>SUM(Main!$L$47:$L$53)</f>
        <v>-24184.090909090908</v>
      </c>
      <c r="H11" s="9">
        <v>-10000</v>
      </c>
      <c r="I11" s="9">
        <f>Main!$L$58+Main!$L$56</f>
        <v>-2556.818181818182</v>
      </c>
      <c r="K11" s="9">
        <f>Main!$L$17</f>
        <v>48068.181818181823</v>
      </c>
      <c r="M11" s="9">
        <f t="shared" ref="M11:M68" si="0">SUM(C11:K11)</f>
        <v>10410.606060606064</v>
      </c>
      <c r="N11" s="9">
        <f t="shared" ref="N11:N68" si="1">N10+M11</f>
        <v>24195.454545454551</v>
      </c>
    </row>
    <row r="12" spans="1:14" x14ac:dyDescent="0.25">
      <c r="A12">
        <v>4</v>
      </c>
      <c r="B12">
        <v>1</v>
      </c>
      <c r="F12" s="9">
        <f>SUM(Main!$L$42:$L$43)</f>
        <v>-916.66666666666674</v>
      </c>
      <c r="G12" s="9">
        <f>SUM(Main!$L$47:$L$53)</f>
        <v>-24184.090909090908</v>
      </c>
      <c r="H12" s="9">
        <v>-10000</v>
      </c>
      <c r="I12" s="9">
        <f>Main!$L$58+Main!$L$56</f>
        <v>-2556.818181818182</v>
      </c>
      <c r="K12" s="9">
        <f>Main!$L$17</f>
        <v>48068.181818181823</v>
      </c>
      <c r="M12" s="9">
        <f t="shared" si="0"/>
        <v>10410.606060606064</v>
      </c>
      <c r="N12" s="9">
        <f t="shared" si="1"/>
        <v>34606.060606060615</v>
      </c>
    </row>
    <row r="13" spans="1:14" x14ac:dyDescent="0.25">
      <c r="A13">
        <v>5</v>
      </c>
      <c r="B13">
        <v>1</v>
      </c>
      <c r="F13" s="9">
        <f>SUM(Main!$L$42:$L$43)</f>
        <v>-916.66666666666674</v>
      </c>
      <c r="G13" s="9">
        <f>SUM(Main!$L$47:$L$53)</f>
        <v>-24184.090909090908</v>
      </c>
      <c r="H13" s="9">
        <v>-10000</v>
      </c>
      <c r="I13" s="9">
        <f>Main!$L$58+Main!$L$56</f>
        <v>-2556.818181818182</v>
      </c>
      <c r="K13" s="9">
        <f>Main!$L$17</f>
        <v>48068.181818181823</v>
      </c>
      <c r="M13" s="9">
        <f t="shared" si="0"/>
        <v>10410.606060606064</v>
      </c>
      <c r="N13" s="9">
        <f t="shared" si="1"/>
        <v>45016.666666666679</v>
      </c>
    </row>
    <row r="14" spans="1:14" x14ac:dyDescent="0.25">
      <c r="A14">
        <v>6</v>
      </c>
      <c r="B14">
        <v>1</v>
      </c>
      <c r="F14" s="9">
        <f>SUM(Main!$L$42:$L$43)</f>
        <v>-916.66666666666674</v>
      </c>
      <c r="G14" s="9">
        <f>SUM(Main!$L$47:$L$53)</f>
        <v>-24184.090909090908</v>
      </c>
      <c r="H14" s="9">
        <v>-10000</v>
      </c>
      <c r="I14" s="9">
        <f>Main!$L$58+Main!$L$56</f>
        <v>-2556.818181818182</v>
      </c>
      <c r="K14" s="9">
        <f>Main!$L$17</f>
        <v>48068.181818181823</v>
      </c>
      <c r="M14" s="9">
        <f t="shared" si="0"/>
        <v>10410.606060606064</v>
      </c>
      <c r="N14" s="9">
        <f t="shared" si="1"/>
        <v>55427.272727272742</v>
      </c>
    </row>
    <row r="15" spans="1:14" x14ac:dyDescent="0.25">
      <c r="A15">
        <v>7</v>
      </c>
      <c r="B15">
        <v>1</v>
      </c>
      <c r="F15" s="9">
        <f>SUM(Main!$L$42:$L$43)</f>
        <v>-916.66666666666674</v>
      </c>
      <c r="G15" s="9">
        <f>SUM(Main!$L$47:$L$53)</f>
        <v>-24184.090909090908</v>
      </c>
      <c r="H15" s="9">
        <v>-10000</v>
      </c>
      <c r="I15" s="9">
        <f>Main!$L$58+Main!$L$56</f>
        <v>-2556.818181818182</v>
      </c>
      <c r="K15" s="9">
        <f>Main!$L$17</f>
        <v>48068.181818181823</v>
      </c>
      <c r="M15" s="9">
        <f t="shared" si="0"/>
        <v>10410.606060606064</v>
      </c>
      <c r="N15" s="9">
        <f t="shared" si="1"/>
        <v>65837.878787878813</v>
      </c>
    </row>
    <row r="16" spans="1:14" x14ac:dyDescent="0.25">
      <c r="A16">
        <v>8</v>
      </c>
      <c r="B16">
        <v>1</v>
      </c>
      <c r="F16" s="9">
        <f>SUM(Main!$L$42:$L$43)</f>
        <v>-916.66666666666674</v>
      </c>
      <c r="G16" s="9">
        <f>SUM(Main!$L$47:$L$53)</f>
        <v>-24184.090909090908</v>
      </c>
      <c r="H16" s="9">
        <v>-10000</v>
      </c>
      <c r="I16" s="9">
        <f>Main!$L$58+Main!$L$56</f>
        <v>-2556.818181818182</v>
      </c>
      <c r="K16" s="9">
        <f>Main!$L$17</f>
        <v>48068.181818181823</v>
      </c>
      <c r="M16" s="9">
        <f t="shared" si="0"/>
        <v>10410.606060606064</v>
      </c>
      <c r="N16" s="9">
        <f t="shared" si="1"/>
        <v>76248.484848484877</v>
      </c>
    </row>
    <row r="17" spans="1:14" x14ac:dyDescent="0.25">
      <c r="A17">
        <v>9</v>
      </c>
      <c r="B17">
        <v>1</v>
      </c>
      <c r="F17" s="9">
        <f>SUM(Main!$L$42:$L$43)</f>
        <v>-916.66666666666674</v>
      </c>
      <c r="G17" s="9">
        <f>SUM(Main!$L$47:$L$53)</f>
        <v>-24184.090909090908</v>
      </c>
      <c r="H17" s="9">
        <v>-10000</v>
      </c>
      <c r="I17" s="9">
        <f>Main!$L$58+Main!$L$56</f>
        <v>-2556.818181818182</v>
      </c>
      <c r="K17" s="9">
        <f>Main!$L$17</f>
        <v>48068.181818181823</v>
      </c>
      <c r="M17" s="9">
        <f t="shared" si="0"/>
        <v>10410.606060606064</v>
      </c>
      <c r="N17" s="9">
        <f t="shared" si="1"/>
        <v>86659.090909090941</v>
      </c>
    </row>
    <row r="18" spans="1:14" x14ac:dyDescent="0.25">
      <c r="A18">
        <v>10</v>
      </c>
      <c r="B18">
        <v>1</v>
      </c>
      <c r="F18" s="9">
        <f>SUM(Main!$L$42:$L$43)</f>
        <v>-916.66666666666674</v>
      </c>
      <c r="G18" s="9">
        <f>SUM(Main!$L$47:$L$53)</f>
        <v>-24184.090909090908</v>
      </c>
      <c r="H18" s="9">
        <v>-10000</v>
      </c>
      <c r="I18" s="9">
        <f>Main!$L$58+Main!$L$56</f>
        <v>-2556.818181818182</v>
      </c>
      <c r="K18" s="9">
        <f>Main!$L$17</f>
        <v>48068.181818181823</v>
      </c>
      <c r="M18" s="9">
        <f t="shared" si="0"/>
        <v>10410.606060606064</v>
      </c>
      <c r="N18" s="9">
        <f t="shared" si="1"/>
        <v>97069.696969697005</v>
      </c>
    </row>
    <row r="19" spans="1:14" x14ac:dyDescent="0.25">
      <c r="A19">
        <v>11</v>
      </c>
      <c r="B19">
        <v>1</v>
      </c>
      <c r="F19" s="9">
        <f>SUM(Main!$L$42:$L$43)</f>
        <v>-916.66666666666674</v>
      </c>
      <c r="G19" s="9">
        <f>SUM(Main!$L$47:$L$53)</f>
        <v>-24184.090909090908</v>
      </c>
      <c r="H19" s="9">
        <v>-10000</v>
      </c>
      <c r="I19" s="9">
        <f>Main!$L$58+Main!$L$56</f>
        <v>-2556.818181818182</v>
      </c>
      <c r="K19" s="9">
        <f>Main!$L$17</f>
        <v>48068.181818181823</v>
      </c>
      <c r="M19" s="9">
        <f t="shared" si="0"/>
        <v>10410.606060606064</v>
      </c>
      <c r="N19" s="9">
        <f t="shared" si="1"/>
        <v>107480.30303030307</v>
      </c>
    </row>
    <row r="20" spans="1:14" x14ac:dyDescent="0.25">
      <c r="A20">
        <v>12</v>
      </c>
      <c r="B20">
        <v>1</v>
      </c>
      <c r="D20" s="9">
        <f>SUM(Main!M20:M27)*12*Main!D19-D9+Main!M38*12</f>
        <v>-83787.878787878784</v>
      </c>
      <c r="E20" s="9">
        <f>SUM(Main!M31:M38)*12</f>
        <v>-34625.757575757576</v>
      </c>
      <c r="F20" s="9">
        <f>SUM(Main!$L$42:$L$43)</f>
        <v>-916.66666666666674</v>
      </c>
      <c r="G20" s="9">
        <f>SUM(Main!$L$47:$L$53)</f>
        <v>-24184.090909090908</v>
      </c>
      <c r="H20" s="9">
        <v>-10000</v>
      </c>
      <c r="I20" s="9">
        <f>Main!$L$58+Main!$L$56</f>
        <v>-2556.818181818182</v>
      </c>
      <c r="K20" s="9">
        <f>Main!$L$17</f>
        <v>48068.181818181823</v>
      </c>
      <c r="M20" s="9">
        <f t="shared" si="0"/>
        <v>-108003.03030303027</v>
      </c>
      <c r="N20" s="9">
        <f t="shared" si="1"/>
        <v>-522.72727272720658</v>
      </c>
    </row>
    <row r="21" spans="1:14" x14ac:dyDescent="0.25">
      <c r="A21">
        <v>13</v>
      </c>
      <c r="B21">
        <v>2</v>
      </c>
      <c r="F21" s="9">
        <f>SUM(Main!$M$42:$M$43)</f>
        <v>-916.66666666666674</v>
      </c>
      <c r="G21" s="9">
        <f>SUM(Main!$M$47:$M$53)</f>
        <v>-45668.181818181816</v>
      </c>
      <c r="H21" s="9">
        <v>-10000</v>
      </c>
      <c r="I21" s="9">
        <f>Main!$M$58+Main!$M$56</f>
        <v>-5113.636363636364</v>
      </c>
      <c r="K21" s="9">
        <f>Main!$M$17</f>
        <v>96136.363636363647</v>
      </c>
      <c r="M21" s="9">
        <f t="shared" si="0"/>
        <v>34437.878787878799</v>
      </c>
      <c r="N21" s="9">
        <f t="shared" si="1"/>
        <v>33915.151515151592</v>
      </c>
    </row>
    <row r="22" spans="1:14" x14ac:dyDescent="0.25">
      <c r="A22">
        <v>14</v>
      </c>
      <c r="B22">
        <v>2</v>
      </c>
      <c r="F22" s="9">
        <f>SUM(Main!$M$42:$M$43)</f>
        <v>-916.66666666666674</v>
      </c>
      <c r="G22" s="9">
        <f>SUM(Main!$M$47:$M$53)</f>
        <v>-45668.181818181816</v>
      </c>
      <c r="H22" s="9">
        <v>-10000</v>
      </c>
      <c r="I22" s="9">
        <f>Main!$M$58+Main!$M$56</f>
        <v>-5113.636363636364</v>
      </c>
      <c r="K22" s="9">
        <f>Main!$M$17</f>
        <v>96136.363636363647</v>
      </c>
      <c r="M22" s="9">
        <f t="shared" si="0"/>
        <v>34437.878787878799</v>
      </c>
      <c r="N22" s="9">
        <f t="shared" si="1"/>
        <v>68353.030303030391</v>
      </c>
    </row>
    <row r="23" spans="1:14" x14ac:dyDescent="0.25">
      <c r="A23">
        <v>15</v>
      </c>
      <c r="B23">
        <v>2</v>
      </c>
      <c r="F23" s="9">
        <f>SUM(Main!$M$42:$M$43)</f>
        <v>-916.66666666666674</v>
      </c>
      <c r="G23" s="9">
        <f>SUM(Main!$M$47:$M$53)</f>
        <v>-45668.181818181816</v>
      </c>
      <c r="H23" s="9">
        <v>-10000</v>
      </c>
      <c r="I23" s="9">
        <f>Main!$M$58+Main!$M$56</f>
        <v>-5113.636363636364</v>
      </c>
      <c r="K23" s="9">
        <f>Main!$M$17</f>
        <v>96136.363636363647</v>
      </c>
      <c r="M23" s="9">
        <f t="shared" si="0"/>
        <v>34437.878787878799</v>
      </c>
      <c r="N23" s="9">
        <f t="shared" si="1"/>
        <v>102790.90909090919</v>
      </c>
    </row>
    <row r="24" spans="1:14" x14ac:dyDescent="0.25">
      <c r="A24">
        <v>16</v>
      </c>
      <c r="B24">
        <v>2</v>
      </c>
      <c r="F24" s="9">
        <f>SUM(Main!$M$42:$M$43)</f>
        <v>-916.66666666666674</v>
      </c>
      <c r="G24" s="9">
        <f>SUM(Main!$M$47:$M$53)</f>
        <v>-45668.181818181816</v>
      </c>
      <c r="H24" s="9">
        <v>-10000</v>
      </c>
      <c r="I24" s="9">
        <f>Main!$M$58+Main!$M$56</f>
        <v>-5113.636363636364</v>
      </c>
      <c r="K24" s="9">
        <f>Main!$M$17</f>
        <v>96136.363636363647</v>
      </c>
      <c r="M24" s="9">
        <f t="shared" si="0"/>
        <v>34437.878787878799</v>
      </c>
      <c r="N24" s="9">
        <f t="shared" si="1"/>
        <v>137228.78787878799</v>
      </c>
    </row>
    <row r="25" spans="1:14" x14ac:dyDescent="0.25">
      <c r="A25">
        <v>17</v>
      </c>
      <c r="B25">
        <v>2</v>
      </c>
      <c r="F25" s="9">
        <f>SUM(Main!$M$42:$M$43)</f>
        <v>-916.66666666666674</v>
      </c>
      <c r="G25" s="9">
        <f>SUM(Main!$M$47:$M$53)</f>
        <v>-45668.181818181816</v>
      </c>
      <c r="H25" s="9">
        <v>-10000</v>
      </c>
      <c r="I25" s="9">
        <f>Main!$M$58+Main!$M$56</f>
        <v>-5113.636363636364</v>
      </c>
      <c r="K25" s="9">
        <f>Main!$M$17</f>
        <v>96136.363636363647</v>
      </c>
      <c r="M25" s="9">
        <f t="shared" si="0"/>
        <v>34437.878787878799</v>
      </c>
      <c r="N25" s="9">
        <f t="shared" si="1"/>
        <v>171666.6666666668</v>
      </c>
    </row>
    <row r="26" spans="1:14" x14ac:dyDescent="0.25">
      <c r="A26">
        <v>18</v>
      </c>
      <c r="B26">
        <v>2</v>
      </c>
      <c r="F26" s="9">
        <f>SUM(Main!$M$42:$M$43)</f>
        <v>-916.66666666666674</v>
      </c>
      <c r="G26" s="9">
        <f>SUM(Main!$M$47:$M$53)</f>
        <v>-45668.181818181816</v>
      </c>
      <c r="H26" s="9">
        <v>-10000</v>
      </c>
      <c r="I26" s="9">
        <f>Main!$M$58+Main!$M$56</f>
        <v>-5113.636363636364</v>
      </c>
      <c r="K26" s="9">
        <f>Main!$M$17</f>
        <v>96136.363636363647</v>
      </c>
      <c r="M26" s="9">
        <f t="shared" si="0"/>
        <v>34437.878787878799</v>
      </c>
      <c r="N26" s="9">
        <f t="shared" si="1"/>
        <v>206104.54545454559</v>
      </c>
    </row>
    <row r="27" spans="1:14" x14ac:dyDescent="0.25">
      <c r="A27">
        <v>19</v>
      </c>
      <c r="B27">
        <v>2</v>
      </c>
      <c r="F27" s="9">
        <f>SUM(Main!$M$42:$M$43)</f>
        <v>-916.66666666666674</v>
      </c>
      <c r="G27" s="9">
        <f>SUM(Main!$M$47:$M$53)</f>
        <v>-45668.181818181816</v>
      </c>
      <c r="H27" s="9">
        <v>-10000</v>
      </c>
      <c r="I27" s="9">
        <f>Main!$M$58+Main!$M$56</f>
        <v>-5113.636363636364</v>
      </c>
      <c r="K27" s="9">
        <f>Main!$M$17</f>
        <v>96136.363636363647</v>
      </c>
      <c r="M27" s="9">
        <f t="shared" si="0"/>
        <v>34437.878787878799</v>
      </c>
      <c r="N27" s="9">
        <f t="shared" si="1"/>
        <v>240542.42424242437</v>
      </c>
    </row>
    <row r="28" spans="1:14" x14ac:dyDescent="0.25">
      <c r="A28">
        <v>20</v>
      </c>
      <c r="B28">
        <v>2</v>
      </c>
      <c r="F28" s="9">
        <f>SUM(Main!$M$42:$M$43)</f>
        <v>-916.66666666666674</v>
      </c>
      <c r="G28" s="9">
        <f>SUM(Main!$M$47:$M$53)</f>
        <v>-45668.181818181816</v>
      </c>
      <c r="H28" s="9">
        <v>-10000</v>
      </c>
      <c r="I28" s="9">
        <f>Main!$M$58+Main!$M$56</f>
        <v>-5113.636363636364</v>
      </c>
      <c r="K28" s="9">
        <f>Main!$M$17</f>
        <v>96136.363636363647</v>
      </c>
      <c r="M28" s="9">
        <f t="shared" si="0"/>
        <v>34437.878787878799</v>
      </c>
      <c r="N28" s="9">
        <f t="shared" si="1"/>
        <v>274980.30303030316</v>
      </c>
    </row>
    <row r="29" spans="1:14" x14ac:dyDescent="0.25">
      <c r="A29">
        <v>21</v>
      </c>
      <c r="B29">
        <v>2</v>
      </c>
      <c r="F29" s="9">
        <f>SUM(Main!$M$42:$M$43)</f>
        <v>-916.66666666666674</v>
      </c>
      <c r="G29" s="9">
        <f>SUM(Main!$M$47:$M$53)</f>
        <v>-45668.181818181816</v>
      </c>
      <c r="H29" s="9">
        <v>-10000</v>
      </c>
      <c r="I29" s="9">
        <f>Main!$M$58+Main!$M$56</f>
        <v>-5113.636363636364</v>
      </c>
      <c r="K29" s="9">
        <f>Main!$M$17</f>
        <v>96136.363636363647</v>
      </c>
      <c r="M29" s="9">
        <f t="shared" si="0"/>
        <v>34437.878787878799</v>
      </c>
      <c r="N29" s="9">
        <f t="shared" si="1"/>
        <v>309418.18181818194</v>
      </c>
    </row>
    <row r="30" spans="1:14" x14ac:dyDescent="0.25">
      <c r="A30">
        <v>22</v>
      </c>
      <c r="B30">
        <v>2</v>
      </c>
      <c r="F30" s="9">
        <f>SUM(Main!$M$42:$M$43)</f>
        <v>-916.66666666666674</v>
      </c>
      <c r="G30" s="9">
        <f>SUM(Main!$M$47:$M$53)</f>
        <v>-45668.181818181816</v>
      </c>
      <c r="H30" s="9">
        <v>-10000</v>
      </c>
      <c r="I30" s="9">
        <f>Main!$M$58+Main!$M$56</f>
        <v>-5113.636363636364</v>
      </c>
      <c r="K30" s="9">
        <f>Main!$M$17</f>
        <v>96136.363636363647</v>
      </c>
      <c r="M30" s="9">
        <f t="shared" si="0"/>
        <v>34437.878787878799</v>
      </c>
      <c r="N30" s="9">
        <f t="shared" si="1"/>
        <v>343856.06060606072</v>
      </c>
    </row>
    <row r="31" spans="1:14" x14ac:dyDescent="0.25">
      <c r="A31">
        <v>23</v>
      </c>
      <c r="B31">
        <v>2</v>
      </c>
      <c r="F31" s="9">
        <f>SUM(Main!$M$42:$M$43)</f>
        <v>-916.66666666666674</v>
      </c>
      <c r="G31" s="9">
        <f>SUM(Main!$M$47:$M$53)</f>
        <v>-45668.181818181816</v>
      </c>
      <c r="H31" s="9">
        <v>-10000</v>
      </c>
      <c r="I31" s="9">
        <f>Main!$M$58+Main!$M$56</f>
        <v>-5113.636363636364</v>
      </c>
      <c r="K31" s="9">
        <f>Main!$M$17</f>
        <v>96136.363636363647</v>
      </c>
      <c r="M31" s="9">
        <f t="shared" si="0"/>
        <v>34437.878787878799</v>
      </c>
      <c r="N31" s="9">
        <f t="shared" si="1"/>
        <v>378293.93939393951</v>
      </c>
    </row>
    <row r="32" spans="1:14" x14ac:dyDescent="0.25">
      <c r="A32">
        <v>24</v>
      </c>
      <c r="B32">
        <v>2</v>
      </c>
      <c r="D32" s="9">
        <f>SUM(Main!N20:N27)*12*Main!D19-D9-D20+Main!N38*12</f>
        <v>-278787.87878787878</v>
      </c>
      <c r="E32" s="9">
        <f>SUM(Main!N31:N38)*12</f>
        <v>-73413.636363636368</v>
      </c>
      <c r="F32" s="9">
        <f>SUM(Main!$M$42:$M$43)</f>
        <v>-916.66666666666674</v>
      </c>
      <c r="G32" s="9">
        <f>SUM(Main!$M$47:$M$53)</f>
        <v>-45668.181818181816</v>
      </c>
      <c r="H32" s="9">
        <v>-10000</v>
      </c>
      <c r="I32" s="9">
        <f>Main!$M$58+Main!$M$56</f>
        <v>-5113.636363636364</v>
      </c>
      <c r="K32" s="9">
        <f>Main!$M$17</f>
        <v>96136.363636363647</v>
      </c>
      <c r="M32" s="9">
        <f t="shared" si="0"/>
        <v>-317763.63636363635</v>
      </c>
      <c r="N32" s="9">
        <f t="shared" si="1"/>
        <v>60530.303030303156</v>
      </c>
    </row>
    <row r="33" spans="1:14" x14ac:dyDescent="0.25">
      <c r="A33">
        <v>25</v>
      </c>
      <c r="B33">
        <v>3</v>
      </c>
      <c r="F33" s="9">
        <f>SUM(Main!$N$42:$N$43)</f>
        <v>-1833.3333333333335</v>
      </c>
      <c r="G33" s="9">
        <f>SUM(Main!$N$47:$N$53)</f>
        <v>-112720.45454545454</v>
      </c>
      <c r="H33" s="9">
        <v>-10000</v>
      </c>
      <c r="I33" s="9">
        <f>Main!$N$58+Main!$N$56</f>
        <v>-12784.09090909091</v>
      </c>
      <c r="K33" s="9">
        <f>Main!$N$17</f>
        <v>240340.90909090912</v>
      </c>
      <c r="M33" s="9">
        <f t="shared" si="0"/>
        <v>103003.03030303033</v>
      </c>
      <c r="N33" s="9">
        <f t="shared" si="1"/>
        <v>163533.33333333349</v>
      </c>
    </row>
    <row r="34" spans="1:14" x14ac:dyDescent="0.25">
      <c r="A34">
        <v>26</v>
      </c>
      <c r="B34">
        <v>3</v>
      </c>
      <c r="F34" s="9">
        <f>SUM(Main!$N$42:$N$43)</f>
        <v>-1833.3333333333335</v>
      </c>
      <c r="G34" s="9">
        <f>SUM(Main!$N$47:$N$53)</f>
        <v>-112720.45454545454</v>
      </c>
      <c r="H34" s="9">
        <v>-10000</v>
      </c>
      <c r="I34" s="9">
        <f>Main!$N$58+Main!$N$56</f>
        <v>-12784.09090909091</v>
      </c>
      <c r="K34" s="9">
        <f>Main!$N$17</f>
        <v>240340.90909090912</v>
      </c>
      <c r="M34" s="9">
        <f t="shared" si="0"/>
        <v>103003.03030303033</v>
      </c>
      <c r="N34" s="9">
        <f t="shared" si="1"/>
        <v>266536.36363636382</v>
      </c>
    </row>
    <row r="35" spans="1:14" x14ac:dyDescent="0.25">
      <c r="A35">
        <v>27</v>
      </c>
      <c r="B35">
        <v>3</v>
      </c>
      <c r="F35" s="9">
        <f>SUM(Main!$N$42:$N$43)</f>
        <v>-1833.3333333333335</v>
      </c>
      <c r="G35" s="9">
        <f>SUM(Main!$N$47:$N$53)</f>
        <v>-112720.45454545454</v>
      </c>
      <c r="H35" s="9">
        <v>-10000</v>
      </c>
      <c r="I35" s="9">
        <f>Main!$N$58+Main!$N$56</f>
        <v>-12784.09090909091</v>
      </c>
      <c r="K35" s="9">
        <f>Main!$N$17</f>
        <v>240340.90909090912</v>
      </c>
      <c r="M35" s="9">
        <f t="shared" si="0"/>
        <v>103003.03030303033</v>
      </c>
      <c r="N35" s="9">
        <f t="shared" si="1"/>
        <v>369539.39393939415</v>
      </c>
    </row>
    <row r="36" spans="1:14" x14ac:dyDescent="0.25">
      <c r="A36">
        <v>28</v>
      </c>
      <c r="B36">
        <v>3</v>
      </c>
      <c r="F36" s="9">
        <f>SUM(Main!$N$42:$N$43)</f>
        <v>-1833.3333333333335</v>
      </c>
      <c r="G36" s="9">
        <f>SUM(Main!$N$47:$N$53)</f>
        <v>-112720.45454545454</v>
      </c>
      <c r="H36" s="9">
        <v>-10000</v>
      </c>
      <c r="I36" s="9">
        <f>Main!$N$58+Main!$N$56</f>
        <v>-12784.09090909091</v>
      </c>
      <c r="K36" s="9">
        <f>Main!$N$17</f>
        <v>240340.90909090912</v>
      </c>
      <c r="M36" s="9">
        <f t="shared" si="0"/>
        <v>103003.03030303033</v>
      </c>
      <c r="N36" s="9">
        <f t="shared" si="1"/>
        <v>472542.42424242449</v>
      </c>
    </row>
    <row r="37" spans="1:14" x14ac:dyDescent="0.25">
      <c r="A37">
        <v>29</v>
      </c>
      <c r="B37">
        <v>3</v>
      </c>
      <c r="F37" s="9">
        <f>SUM(Main!$N$42:$N$43)</f>
        <v>-1833.3333333333335</v>
      </c>
      <c r="G37" s="9">
        <f>SUM(Main!$N$47:$N$53)</f>
        <v>-112720.45454545454</v>
      </c>
      <c r="H37" s="9">
        <v>-10000</v>
      </c>
      <c r="I37" s="9">
        <f>Main!$N$58+Main!$N$56</f>
        <v>-12784.09090909091</v>
      </c>
      <c r="K37" s="9">
        <f>Main!$N$17</f>
        <v>240340.90909090912</v>
      </c>
      <c r="M37" s="9">
        <f t="shared" si="0"/>
        <v>103003.03030303033</v>
      </c>
      <c r="N37" s="9">
        <f t="shared" si="1"/>
        <v>575545.45454545482</v>
      </c>
    </row>
    <row r="38" spans="1:14" x14ac:dyDescent="0.25">
      <c r="A38">
        <v>30</v>
      </c>
      <c r="B38">
        <v>3</v>
      </c>
      <c r="F38" s="9">
        <f>SUM(Main!$N$42:$N$43)</f>
        <v>-1833.3333333333335</v>
      </c>
      <c r="G38" s="9">
        <f>SUM(Main!$N$47:$N$53)</f>
        <v>-112720.45454545454</v>
      </c>
      <c r="H38" s="9">
        <v>-10000</v>
      </c>
      <c r="I38" s="9">
        <f>Main!$N$58+Main!$N$56</f>
        <v>-12784.09090909091</v>
      </c>
      <c r="K38" s="9">
        <f>Main!$N$17</f>
        <v>240340.90909090912</v>
      </c>
      <c r="M38" s="9">
        <f t="shared" si="0"/>
        <v>103003.03030303033</v>
      </c>
      <c r="N38" s="9">
        <f t="shared" si="1"/>
        <v>678548.4848484851</v>
      </c>
    </row>
    <row r="39" spans="1:14" x14ac:dyDescent="0.25">
      <c r="A39">
        <v>31</v>
      </c>
      <c r="B39">
        <v>3</v>
      </c>
      <c r="F39" s="9">
        <f>SUM(Main!$N$42:$N$43)</f>
        <v>-1833.3333333333335</v>
      </c>
      <c r="G39" s="9">
        <f>SUM(Main!$N$47:$N$53)</f>
        <v>-112720.45454545454</v>
      </c>
      <c r="H39" s="9">
        <v>-10000</v>
      </c>
      <c r="I39" s="9">
        <f>Main!$N$58+Main!$N$56</f>
        <v>-12784.09090909091</v>
      </c>
      <c r="K39" s="9">
        <f>Main!$N$17</f>
        <v>240340.90909090912</v>
      </c>
      <c r="M39" s="9">
        <f t="shared" si="0"/>
        <v>103003.03030303033</v>
      </c>
      <c r="N39" s="9">
        <f t="shared" si="1"/>
        <v>781551.51515151537</v>
      </c>
    </row>
    <row r="40" spans="1:14" x14ac:dyDescent="0.25">
      <c r="A40">
        <v>32</v>
      </c>
      <c r="B40">
        <v>3</v>
      </c>
      <c r="F40" s="9">
        <f>SUM(Main!$N$42:$N$43)</f>
        <v>-1833.3333333333335</v>
      </c>
      <c r="G40" s="9">
        <f>SUM(Main!$N$47:$N$53)</f>
        <v>-112720.45454545454</v>
      </c>
      <c r="H40" s="9">
        <v>-10000</v>
      </c>
      <c r="I40" s="9">
        <f>Main!$N$58+Main!$N$56</f>
        <v>-12784.09090909091</v>
      </c>
      <c r="K40" s="9">
        <f>Main!$N$17</f>
        <v>240340.90909090912</v>
      </c>
      <c r="M40" s="9">
        <f t="shared" si="0"/>
        <v>103003.03030303033</v>
      </c>
      <c r="N40" s="9">
        <f t="shared" si="1"/>
        <v>884554.54545454565</v>
      </c>
    </row>
    <row r="41" spans="1:14" x14ac:dyDescent="0.25">
      <c r="A41">
        <v>33</v>
      </c>
      <c r="B41">
        <v>3</v>
      </c>
      <c r="F41" s="9">
        <f>SUM(Main!$N$42:$N$43)</f>
        <v>-1833.3333333333335</v>
      </c>
      <c r="G41" s="9">
        <f>SUM(Main!$N$47:$N$53)</f>
        <v>-112720.45454545454</v>
      </c>
      <c r="H41" s="9">
        <v>-10000</v>
      </c>
      <c r="I41" s="9">
        <f>Main!$N$58+Main!$N$56</f>
        <v>-12784.09090909091</v>
      </c>
      <c r="K41" s="9">
        <f>Main!$N$17</f>
        <v>240340.90909090912</v>
      </c>
      <c r="M41" s="9">
        <f t="shared" si="0"/>
        <v>103003.03030303033</v>
      </c>
      <c r="N41" s="9">
        <f t="shared" si="1"/>
        <v>987557.57575757592</v>
      </c>
    </row>
    <row r="42" spans="1:14" x14ac:dyDescent="0.25">
      <c r="A42">
        <v>34</v>
      </c>
      <c r="B42">
        <v>3</v>
      </c>
      <c r="F42" s="9">
        <f>SUM(Main!$N$42:$N$43)</f>
        <v>-1833.3333333333335</v>
      </c>
      <c r="G42" s="9">
        <f>SUM(Main!$N$47:$N$53)</f>
        <v>-112720.45454545454</v>
      </c>
      <c r="H42" s="9">
        <v>-10000</v>
      </c>
      <c r="I42" s="9">
        <f>Main!$N$58+Main!$N$56</f>
        <v>-12784.09090909091</v>
      </c>
      <c r="K42" s="9">
        <f>Main!$N$17</f>
        <v>240340.90909090912</v>
      </c>
      <c r="M42" s="9">
        <f t="shared" si="0"/>
        <v>103003.03030303033</v>
      </c>
      <c r="N42" s="9">
        <f t="shared" si="1"/>
        <v>1090560.6060606062</v>
      </c>
    </row>
    <row r="43" spans="1:14" x14ac:dyDescent="0.25">
      <c r="A43">
        <v>35</v>
      </c>
      <c r="B43">
        <v>3</v>
      </c>
      <c r="F43" s="9">
        <f>SUM(Main!$N$42:$N$43)</f>
        <v>-1833.3333333333335</v>
      </c>
      <c r="G43" s="9">
        <f>SUM(Main!$N$47:$N$53)</f>
        <v>-112720.45454545454</v>
      </c>
      <c r="H43" s="9">
        <v>-10000</v>
      </c>
      <c r="I43" s="9">
        <f>Main!$N$58+Main!$N$56</f>
        <v>-12784.09090909091</v>
      </c>
      <c r="K43" s="9">
        <f>Main!$N$17</f>
        <v>240340.90909090912</v>
      </c>
      <c r="M43" s="9">
        <f t="shared" si="0"/>
        <v>103003.03030303033</v>
      </c>
      <c r="N43" s="9">
        <f t="shared" si="1"/>
        <v>1193563.6363636365</v>
      </c>
    </row>
    <row r="44" spans="1:14" x14ac:dyDescent="0.25">
      <c r="A44">
        <v>36</v>
      </c>
      <c r="B44">
        <v>3</v>
      </c>
      <c r="D44" s="9">
        <f>SUM(Main!O20:O27)*12*Main!D19-D9-D20-D32+Main!O38*12</f>
        <v>-163787.87878787867</v>
      </c>
      <c r="E44" s="9">
        <f>SUM(Main!O31:O38)*12</f>
        <v>-87201.515151515167</v>
      </c>
      <c r="F44" s="9">
        <f>SUM(Main!$N$42:$N$43)</f>
        <v>-1833.3333333333335</v>
      </c>
      <c r="G44" s="9">
        <f>SUM(Main!$N$47:$N$53)</f>
        <v>-112720.45454545454</v>
      </c>
      <c r="H44" s="9">
        <v>-10000</v>
      </c>
      <c r="I44" s="9">
        <f>Main!$N$58+Main!$N$56</f>
        <v>-12784.09090909091</v>
      </c>
      <c r="K44" s="9">
        <f>Main!$N$17</f>
        <v>240340.90909090912</v>
      </c>
      <c r="M44" s="9">
        <f t="shared" si="0"/>
        <v>-147986.36363636347</v>
      </c>
      <c r="N44" s="9">
        <f t="shared" si="1"/>
        <v>1045577.2727272729</v>
      </c>
    </row>
    <row r="45" spans="1:14" x14ac:dyDescent="0.25">
      <c r="A45">
        <v>37</v>
      </c>
      <c r="B45">
        <v>4</v>
      </c>
      <c r="F45" s="9">
        <f>SUM(Main!$O$42:$O$43)</f>
        <v>-1833.3333333333335</v>
      </c>
      <c r="G45" s="9">
        <f>SUM(Main!$O$47:$O$53)</f>
        <v>-153288.63636363635</v>
      </c>
      <c r="H45" s="9">
        <v>-10000</v>
      </c>
      <c r="I45" s="9">
        <f>Main!$O$58+Main!$O$56</f>
        <v>-17897.727272727276</v>
      </c>
      <c r="K45" s="9">
        <f>Main!$O$17</f>
        <v>336477.27272727276</v>
      </c>
      <c r="M45" s="9">
        <f t="shared" si="0"/>
        <v>153457.5757575758</v>
      </c>
      <c r="N45" s="9">
        <f t="shared" si="1"/>
        <v>1199034.8484848486</v>
      </c>
    </row>
    <row r="46" spans="1:14" x14ac:dyDescent="0.25">
      <c r="A46">
        <v>38</v>
      </c>
      <c r="B46">
        <v>4</v>
      </c>
      <c r="F46" s="9">
        <f>SUM(Main!$O$42:$O$43)</f>
        <v>-1833.3333333333335</v>
      </c>
      <c r="G46" s="9">
        <f>SUM(Main!$O$47:$O$53)</f>
        <v>-153288.63636363635</v>
      </c>
      <c r="H46" s="9">
        <v>-10000</v>
      </c>
      <c r="I46" s="9">
        <f>Main!$O$58+Main!$O$56</f>
        <v>-17897.727272727276</v>
      </c>
      <c r="K46" s="9">
        <f>Main!$O$17</f>
        <v>336477.27272727276</v>
      </c>
      <c r="M46" s="9">
        <f t="shared" si="0"/>
        <v>153457.5757575758</v>
      </c>
      <c r="N46" s="9">
        <f t="shared" si="1"/>
        <v>1352492.4242424243</v>
      </c>
    </row>
    <row r="47" spans="1:14" x14ac:dyDescent="0.25">
      <c r="A47">
        <v>39</v>
      </c>
      <c r="B47">
        <v>4</v>
      </c>
      <c r="F47" s="9">
        <f>SUM(Main!$O$42:$O$43)</f>
        <v>-1833.3333333333335</v>
      </c>
      <c r="G47" s="9">
        <f>SUM(Main!$O$47:$O$53)</f>
        <v>-153288.63636363635</v>
      </c>
      <c r="H47" s="9">
        <v>-10000</v>
      </c>
      <c r="I47" s="9">
        <f>Main!$O$58+Main!$O$56</f>
        <v>-17897.727272727276</v>
      </c>
      <c r="K47" s="9">
        <f>Main!$O$17</f>
        <v>336477.27272727276</v>
      </c>
      <c r="M47" s="9">
        <f t="shared" si="0"/>
        <v>153457.5757575758</v>
      </c>
      <c r="N47" s="9">
        <f t="shared" si="1"/>
        <v>1505950</v>
      </c>
    </row>
    <row r="48" spans="1:14" x14ac:dyDescent="0.25">
      <c r="A48">
        <v>40</v>
      </c>
      <c r="B48">
        <v>4</v>
      </c>
      <c r="F48" s="9">
        <f>SUM(Main!$O$42:$O$43)</f>
        <v>-1833.3333333333335</v>
      </c>
      <c r="G48" s="9">
        <f>SUM(Main!$O$47:$O$53)</f>
        <v>-153288.63636363635</v>
      </c>
      <c r="H48" s="9">
        <v>-10000</v>
      </c>
      <c r="I48" s="9">
        <f>Main!$O$58+Main!$O$56</f>
        <v>-17897.727272727276</v>
      </c>
      <c r="K48" s="9">
        <f>Main!$O$17</f>
        <v>336477.27272727276</v>
      </c>
      <c r="M48" s="9">
        <f t="shared" si="0"/>
        <v>153457.5757575758</v>
      </c>
      <c r="N48" s="9">
        <f t="shared" si="1"/>
        <v>1659407.5757575757</v>
      </c>
    </row>
    <row r="49" spans="1:14" x14ac:dyDescent="0.25">
      <c r="A49">
        <v>41</v>
      </c>
      <c r="B49">
        <v>4</v>
      </c>
      <c r="F49" s="9">
        <f>SUM(Main!$O$42:$O$43)</f>
        <v>-1833.3333333333335</v>
      </c>
      <c r="G49" s="9">
        <f>SUM(Main!$O$47:$O$53)</f>
        <v>-153288.63636363635</v>
      </c>
      <c r="H49" s="9">
        <v>-10000</v>
      </c>
      <c r="I49" s="9">
        <f>Main!$O$58+Main!$O$56</f>
        <v>-17897.727272727276</v>
      </c>
      <c r="K49" s="9">
        <f>Main!$O$17</f>
        <v>336477.27272727276</v>
      </c>
      <c r="M49" s="9">
        <f t="shared" si="0"/>
        <v>153457.5757575758</v>
      </c>
      <c r="N49" s="9">
        <f t="shared" si="1"/>
        <v>1812865.1515151514</v>
      </c>
    </row>
    <row r="50" spans="1:14" x14ac:dyDescent="0.25">
      <c r="A50">
        <v>42</v>
      </c>
      <c r="B50">
        <v>4</v>
      </c>
      <c r="F50" s="9">
        <f>SUM(Main!$O$42:$O$43)</f>
        <v>-1833.3333333333335</v>
      </c>
      <c r="G50" s="9">
        <f>SUM(Main!$O$47:$O$53)</f>
        <v>-153288.63636363635</v>
      </c>
      <c r="H50" s="9">
        <v>-10000</v>
      </c>
      <c r="I50" s="9">
        <f>Main!$O$58+Main!$O$56</f>
        <v>-17897.727272727276</v>
      </c>
      <c r="K50" s="9">
        <f>Main!$O$17</f>
        <v>336477.27272727276</v>
      </c>
      <c r="M50" s="9">
        <f t="shared" si="0"/>
        <v>153457.5757575758</v>
      </c>
      <c r="N50" s="9">
        <f t="shared" si="1"/>
        <v>1966322.7272727271</v>
      </c>
    </row>
    <row r="51" spans="1:14" x14ac:dyDescent="0.25">
      <c r="A51">
        <v>43</v>
      </c>
      <c r="B51">
        <v>4</v>
      </c>
      <c r="F51" s="9">
        <f>SUM(Main!$O$42:$O$43)</f>
        <v>-1833.3333333333335</v>
      </c>
      <c r="G51" s="9">
        <f>SUM(Main!$O$47:$O$53)</f>
        <v>-153288.63636363635</v>
      </c>
      <c r="H51" s="9">
        <v>-10000</v>
      </c>
      <c r="I51" s="9">
        <f>Main!$O$58+Main!$O$56</f>
        <v>-17897.727272727276</v>
      </c>
      <c r="K51" s="9">
        <f>Main!$O$17</f>
        <v>336477.27272727276</v>
      </c>
      <c r="M51" s="9">
        <f t="shared" si="0"/>
        <v>153457.5757575758</v>
      </c>
      <c r="N51" s="9">
        <f t="shared" si="1"/>
        <v>2119780.3030303027</v>
      </c>
    </row>
    <row r="52" spans="1:14" x14ac:dyDescent="0.25">
      <c r="A52">
        <v>44</v>
      </c>
      <c r="B52">
        <v>4</v>
      </c>
      <c r="F52" s="9">
        <f>SUM(Main!$O$42:$O$43)</f>
        <v>-1833.3333333333335</v>
      </c>
      <c r="G52" s="9">
        <f>SUM(Main!$O$47:$O$53)</f>
        <v>-153288.63636363635</v>
      </c>
      <c r="H52" s="9">
        <v>-10000</v>
      </c>
      <c r="I52" s="9">
        <f>Main!$O$58+Main!$O$56</f>
        <v>-17897.727272727276</v>
      </c>
      <c r="K52" s="9">
        <f>Main!$O$17</f>
        <v>336477.27272727276</v>
      </c>
      <c r="M52" s="9">
        <f t="shared" si="0"/>
        <v>153457.5757575758</v>
      </c>
      <c r="N52" s="9">
        <f t="shared" si="1"/>
        <v>2273237.8787878784</v>
      </c>
    </row>
    <row r="53" spans="1:14" x14ac:dyDescent="0.25">
      <c r="A53">
        <v>45</v>
      </c>
      <c r="B53">
        <v>4</v>
      </c>
      <c r="F53" s="9">
        <f>SUM(Main!$O$42:$O$43)</f>
        <v>-1833.3333333333335</v>
      </c>
      <c r="G53" s="9">
        <f>SUM(Main!$O$47:$O$53)</f>
        <v>-153288.63636363635</v>
      </c>
      <c r="H53" s="9">
        <v>-10000</v>
      </c>
      <c r="I53" s="9">
        <f>Main!$O$58+Main!$O$56</f>
        <v>-17897.727272727276</v>
      </c>
      <c r="K53" s="9">
        <f>Main!$O$17</f>
        <v>336477.27272727276</v>
      </c>
      <c r="M53" s="9">
        <f t="shared" si="0"/>
        <v>153457.5757575758</v>
      </c>
      <c r="N53" s="9">
        <f t="shared" si="1"/>
        <v>2426695.4545454541</v>
      </c>
    </row>
    <row r="54" spans="1:14" x14ac:dyDescent="0.25">
      <c r="A54">
        <v>46</v>
      </c>
      <c r="B54">
        <v>4</v>
      </c>
      <c r="F54" s="9">
        <f>SUM(Main!$O$42:$O$43)</f>
        <v>-1833.3333333333335</v>
      </c>
      <c r="G54" s="9">
        <f>SUM(Main!$O$47:$O$53)</f>
        <v>-153288.63636363635</v>
      </c>
      <c r="H54" s="9">
        <v>-10000</v>
      </c>
      <c r="I54" s="9">
        <f>Main!$O$58+Main!$O$56</f>
        <v>-17897.727272727276</v>
      </c>
      <c r="K54" s="9">
        <f>Main!$O$17</f>
        <v>336477.27272727276</v>
      </c>
      <c r="M54" s="9">
        <f t="shared" si="0"/>
        <v>153457.5757575758</v>
      </c>
      <c r="N54" s="9">
        <f t="shared" si="1"/>
        <v>2580153.0303030298</v>
      </c>
    </row>
    <row r="55" spans="1:14" x14ac:dyDescent="0.25">
      <c r="A55">
        <v>47</v>
      </c>
      <c r="B55">
        <v>4</v>
      </c>
      <c r="F55" s="9">
        <f>SUM(Main!$O$42:$O$43)</f>
        <v>-1833.3333333333335</v>
      </c>
      <c r="G55" s="9">
        <f>SUM(Main!$O$47:$O$53)</f>
        <v>-153288.63636363635</v>
      </c>
      <c r="H55" s="9">
        <v>-10000</v>
      </c>
      <c r="I55" s="9">
        <f>Main!$O$58+Main!$O$56</f>
        <v>-17897.727272727276</v>
      </c>
      <c r="K55" s="9">
        <f>Main!$O$17</f>
        <v>336477.27272727276</v>
      </c>
      <c r="M55" s="9">
        <f t="shared" si="0"/>
        <v>153457.5757575758</v>
      </c>
      <c r="N55" s="9">
        <f t="shared" si="1"/>
        <v>2733610.6060606055</v>
      </c>
    </row>
    <row r="56" spans="1:14" x14ac:dyDescent="0.25">
      <c r="A56">
        <v>48</v>
      </c>
      <c r="B56">
        <v>4</v>
      </c>
      <c r="D56" s="9">
        <f>SUM(Main!P20:P27)*12*Main!D19-D9-D20-D32-D44+Main!P38*12</f>
        <v>0</v>
      </c>
      <c r="E56" s="9">
        <f>SUM(Main!P31:P38)*12</f>
        <v>-87201.515151515167</v>
      </c>
      <c r="F56" s="9">
        <f>SUM(Main!$O$42:$O$43)</f>
        <v>-1833.3333333333335</v>
      </c>
      <c r="G56" s="9">
        <f>SUM(Main!$O$47:$O$53)</f>
        <v>-153288.63636363635</v>
      </c>
      <c r="H56" s="9">
        <v>-10000</v>
      </c>
      <c r="I56" s="9">
        <f>Main!$O$58+Main!$O$56</f>
        <v>-17897.727272727276</v>
      </c>
      <c r="K56" s="9">
        <f>Main!$O$17</f>
        <v>336477.27272727276</v>
      </c>
      <c r="M56" s="9">
        <f t="shared" si="0"/>
        <v>66256.060606060608</v>
      </c>
      <c r="N56" s="9">
        <f t="shared" si="1"/>
        <v>2799866.666666666</v>
      </c>
    </row>
    <row r="57" spans="1:14" x14ac:dyDescent="0.25">
      <c r="A57">
        <v>49</v>
      </c>
      <c r="B57">
        <v>5</v>
      </c>
      <c r="F57" s="9">
        <f>SUM(Main!$P$42:$P$43)</f>
        <v>-1833.3333333333335</v>
      </c>
      <c r="G57" s="9">
        <f>SUM(Main!$P$47:$P$53)</f>
        <v>-153288.63636363635</v>
      </c>
      <c r="H57" s="9">
        <v>-10000</v>
      </c>
      <c r="I57" s="9">
        <f>Main!$P$58+Main!$P$56</f>
        <v>-17897.727272727276</v>
      </c>
      <c r="K57" s="9">
        <f>Main!$P$17</f>
        <v>336477.27272727276</v>
      </c>
      <c r="M57" s="9">
        <f t="shared" si="0"/>
        <v>153457.5757575758</v>
      </c>
      <c r="N57" s="9">
        <f t="shared" si="1"/>
        <v>2953324.2424242417</v>
      </c>
    </row>
    <row r="58" spans="1:14" x14ac:dyDescent="0.25">
      <c r="A58">
        <v>50</v>
      </c>
      <c r="B58">
        <v>5</v>
      </c>
      <c r="F58" s="9">
        <f>SUM(Main!$P$42:$P$43)</f>
        <v>-1833.3333333333335</v>
      </c>
      <c r="G58" s="9">
        <f>SUM(Main!$P$47:$P$53)</f>
        <v>-153288.63636363635</v>
      </c>
      <c r="H58" s="9">
        <v>-10000</v>
      </c>
      <c r="I58" s="9">
        <f>Main!$P$58+Main!$P$56</f>
        <v>-17897.727272727276</v>
      </c>
      <c r="K58" s="9">
        <f>Main!$P$17</f>
        <v>336477.27272727276</v>
      </c>
      <c r="M58" s="9">
        <f t="shared" si="0"/>
        <v>153457.5757575758</v>
      </c>
      <c r="N58" s="9">
        <f t="shared" si="1"/>
        <v>3106781.8181818174</v>
      </c>
    </row>
    <row r="59" spans="1:14" x14ac:dyDescent="0.25">
      <c r="A59">
        <v>51</v>
      </c>
      <c r="B59">
        <v>5</v>
      </c>
      <c r="F59" s="9">
        <f>SUM(Main!$P$42:$P$43)</f>
        <v>-1833.3333333333335</v>
      </c>
      <c r="G59" s="9">
        <f>SUM(Main!$P$47:$P$53)</f>
        <v>-153288.63636363635</v>
      </c>
      <c r="H59" s="9">
        <v>-10000</v>
      </c>
      <c r="I59" s="9">
        <f>Main!$P$58+Main!$P$56</f>
        <v>-17897.727272727276</v>
      </c>
      <c r="K59" s="9">
        <f>Main!$P$17</f>
        <v>336477.27272727276</v>
      </c>
      <c r="M59" s="9">
        <f t="shared" si="0"/>
        <v>153457.5757575758</v>
      </c>
      <c r="N59" s="9">
        <f t="shared" si="1"/>
        <v>3260239.3939393931</v>
      </c>
    </row>
    <row r="60" spans="1:14" x14ac:dyDescent="0.25">
      <c r="A60">
        <v>52</v>
      </c>
      <c r="B60">
        <v>5</v>
      </c>
      <c r="F60" s="9">
        <f>SUM(Main!$P$42:$P$43)</f>
        <v>-1833.3333333333335</v>
      </c>
      <c r="G60" s="9">
        <f>SUM(Main!$P$47:$P$53)</f>
        <v>-153288.63636363635</v>
      </c>
      <c r="H60" s="9">
        <v>-10000</v>
      </c>
      <c r="I60" s="9">
        <f>Main!$P$58+Main!$P$56</f>
        <v>-17897.727272727276</v>
      </c>
      <c r="K60" s="9">
        <f>Main!$P$17</f>
        <v>336477.27272727276</v>
      </c>
      <c r="M60" s="9">
        <f t="shared" si="0"/>
        <v>153457.5757575758</v>
      </c>
      <c r="N60" s="9">
        <f t="shared" si="1"/>
        <v>3413696.9696969688</v>
      </c>
    </row>
    <row r="61" spans="1:14" x14ac:dyDescent="0.25">
      <c r="A61">
        <v>53</v>
      </c>
      <c r="B61">
        <v>5</v>
      </c>
      <c r="F61" s="9">
        <f>SUM(Main!$P$42:$P$43)</f>
        <v>-1833.3333333333335</v>
      </c>
      <c r="G61" s="9">
        <f>SUM(Main!$P$47:$P$53)</f>
        <v>-153288.63636363635</v>
      </c>
      <c r="H61" s="9">
        <v>-10000</v>
      </c>
      <c r="I61" s="9">
        <f>Main!$P$58+Main!$P$56</f>
        <v>-17897.727272727276</v>
      </c>
      <c r="K61" s="9">
        <f>Main!$P$17</f>
        <v>336477.27272727276</v>
      </c>
      <c r="M61" s="9">
        <f t="shared" si="0"/>
        <v>153457.5757575758</v>
      </c>
      <c r="N61" s="9">
        <f t="shared" si="1"/>
        <v>3567154.5454545445</v>
      </c>
    </row>
    <row r="62" spans="1:14" x14ac:dyDescent="0.25">
      <c r="A62">
        <v>54</v>
      </c>
      <c r="B62">
        <v>5</v>
      </c>
      <c r="F62" s="9">
        <f>SUM(Main!$P$42:$P$43)</f>
        <v>-1833.3333333333335</v>
      </c>
      <c r="G62" s="9">
        <f>SUM(Main!$P$47:$P$53)</f>
        <v>-153288.63636363635</v>
      </c>
      <c r="H62" s="9">
        <v>-10000</v>
      </c>
      <c r="I62" s="9">
        <f>Main!$P$58+Main!$P$56</f>
        <v>-17897.727272727276</v>
      </c>
      <c r="K62" s="9">
        <f>Main!$P$17</f>
        <v>336477.27272727276</v>
      </c>
      <c r="M62" s="9">
        <f t="shared" si="0"/>
        <v>153457.5757575758</v>
      </c>
      <c r="N62" s="9">
        <f t="shared" si="1"/>
        <v>3720612.1212121202</v>
      </c>
    </row>
    <row r="63" spans="1:14" x14ac:dyDescent="0.25">
      <c r="A63">
        <v>55</v>
      </c>
      <c r="B63">
        <v>5</v>
      </c>
      <c r="F63" s="9">
        <f>SUM(Main!$P$42:$P$43)</f>
        <v>-1833.3333333333335</v>
      </c>
      <c r="G63" s="9">
        <f>SUM(Main!$P$47:$P$53)</f>
        <v>-153288.63636363635</v>
      </c>
      <c r="H63" s="9">
        <v>-10000</v>
      </c>
      <c r="I63" s="9">
        <f>Main!$P$58+Main!$P$56</f>
        <v>-17897.727272727276</v>
      </c>
      <c r="K63" s="9">
        <f>Main!$P$17</f>
        <v>336477.27272727276</v>
      </c>
      <c r="M63" s="9">
        <f t="shared" si="0"/>
        <v>153457.5757575758</v>
      </c>
      <c r="N63" s="9">
        <f t="shared" si="1"/>
        <v>3874069.6969696959</v>
      </c>
    </row>
    <row r="64" spans="1:14" x14ac:dyDescent="0.25">
      <c r="A64">
        <v>56</v>
      </c>
      <c r="B64">
        <v>5</v>
      </c>
      <c r="F64" s="9">
        <f>SUM(Main!$P$42:$P$43)</f>
        <v>-1833.3333333333335</v>
      </c>
      <c r="G64" s="9">
        <f>SUM(Main!$P$47:$P$53)</f>
        <v>-153288.63636363635</v>
      </c>
      <c r="H64" s="9">
        <v>-10000</v>
      </c>
      <c r="I64" s="9">
        <f>Main!$P$58+Main!$P$56</f>
        <v>-17897.727272727276</v>
      </c>
      <c r="K64" s="9">
        <f>Main!$P$17</f>
        <v>336477.27272727276</v>
      </c>
      <c r="M64" s="9">
        <f t="shared" si="0"/>
        <v>153457.5757575758</v>
      </c>
      <c r="N64" s="9">
        <f t="shared" si="1"/>
        <v>4027527.2727272715</v>
      </c>
    </row>
    <row r="65" spans="1:14" x14ac:dyDescent="0.25">
      <c r="A65">
        <v>57</v>
      </c>
      <c r="B65">
        <v>5</v>
      </c>
      <c r="F65" s="9">
        <f>SUM(Main!$P$42:$P$43)</f>
        <v>-1833.3333333333335</v>
      </c>
      <c r="G65" s="9">
        <f>SUM(Main!$P$47:$P$53)</f>
        <v>-153288.63636363635</v>
      </c>
      <c r="H65" s="9">
        <v>-10000</v>
      </c>
      <c r="I65" s="9">
        <f>Main!$P$58+Main!$P$56</f>
        <v>-17897.727272727276</v>
      </c>
      <c r="K65" s="9">
        <f>Main!$P$17</f>
        <v>336477.27272727276</v>
      </c>
      <c r="M65" s="9">
        <f t="shared" si="0"/>
        <v>153457.5757575758</v>
      </c>
      <c r="N65" s="9">
        <f t="shared" si="1"/>
        <v>4180984.8484848472</v>
      </c>
    </row>
    <row r="66" spans="1:14" x14ac:dyDescent="0.25">
      <c r="A66">
        <v>58</v>
      </c>
      <c r="B66">
        <v>5</v>
      </c>
      <c r="F66" s="9">
        <f>SUM(Main!$P$42:$P$43)</f>
        <v>-1833.3333333333335</v>
      </c>
      <c r="G66" s="9">
        <f>SUM(Main!$P$47:$P$53)</f>
        <v>-153288.63636363635</v>
      </c>
      <c r="H66" s="9">
        <v>-10000</v>
      </c>
      <c r="I66" s="9">
        <f>Main!$P$58+Main!$P$56</f>
        <v>-17897.727272727276</v>
      </c>
      <c r="K66" s="9">
        <f>Main!$P$17</f>
        <v>336477.27272727276</v>
      </c>
      <c r="M66" s="9">
        <f t="shared" si="0"/>
        <v>153457.5757575758</v>
      </c>
      <c r="N66" s="9">
        <f t="shared" si="1"/>
        <v>4334442.4242424229</v>
      </c>
    </row>
    <row r="67" spans="1:14" x14ac:dyDescent="0.25">
      <c r="A67">
        <v>59</v>
      </c>
      <c r="B67">
        <v>5</v>
      </c>
      <c r="F67" s="9">
        <f>SUM(Main!$P$42:$P$43)</f>
        <v>-1833.3333333333335</v>
      </c>
      <c r="G67" s="9">
        <f>SUM(Main!$P$47:$P$53)</f>
        <v>-153288.63636363635</v>
      </c>
      <c r="H67" s="9">
        <v>-10000</v>
      </c>
      <c r="I67" s="9">
        <f>Main!$P$58+Main!$P$56</f>
        <v>-17897.727272727276</v>
      </c>
      <c r="K67" s="9">
        <f>Main!$P$17</f>
        <v>336477.27272727276</v>
      </c>
      <c r="M67" s="9">
        <f t="shared" si="0"/>
        <v>153457.5757575758</v>
      </c>
      <c r="N67" s="9">
        <f t="shared" si="1"/>
        <v>4487899.9999999991</v>
      </c>
    </row>
    <row r="68" spans="1:14" x14ac:dyDescent="0.25">
      <c r="A68">
        <v>60</v>
      </c>
      <c r="B68">
        <v>5</v>
      </c>
      <c r="F68" s="9">
        <f>SUM(Main!$P$42:$P$43)</f>
        <v>-1833.3333333333335</v>
      </c>
      <c r="G68" s="9">
        <f>SUM(Main!$P$47:$P$53)</f>
        <v>-153288.63636363635</v>
      </c>
      <c r="H68" s="9">
        <v>-10000</v>
      </c>
      <c r="I68" s="9">
        <f>Main!$P$58+Main!$P$56</f>
        <v>-17897.727272727276</v>
      </c>
      <c r="K68" s="9">
        <f>Main!$P$17</f>
        <v>336477.27272727276</v>
      </c>
      <c r="M68" s="9">
        <f t="shared" si="0"/>
        <v>153457.5757575758</v>
      </c>
      <c r="N68" s="9">
        <f t="shared" si="1"/>
        <v>4641357.5757575752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0:G13"/>
  <sheetViews>
    <sheetView workbookViewId="0">
      <selection activeCell="B28" sqref="B28"/>
    </sheetView>
  </sheetViews>
  <sheetFormatPr defaultRowHeight="15" x14ac:dyDescent="0.25"/>
  <cols>
    <col min="1" max="1" width="11.85546875" bestFit="1" customWidth="1"/>
    <col min="4" max="4" width="13.7109375" bestFit="1" customWidth="1"/>
  </cols>
  <sheetData>
    <row r="10" spans="1:7" x14ac:dyDescent="0.25">
      <c r="A10" t="s">
        <v>62</v>
      </c>
      <c r="B10" s="21">
        <f>Main!B1</f>
        <v>132</v>
      </c>
      <c r="D10" t="s">
        <v>64</v>
      </c>
      <c r="E10" s="6">
        <v>10</v>
      </c>
      <c r="F10" s="6">
        <v>15</v>
      </c>
      <c r="G10" s="6">
        <v>20</v>
      </c>
    </row>
    <row r="11" spans="1:7" x14ac:dyDescent="0.25">
      <c r="A11" t="s">
        <v>12</v>
      </c>
      <c r="B11" s="21">
        <f>Main!D8</f>
        <v>150</v>
      </c>
      <c r="D11" t="s">
        <v>65</v>
      </c>
      <c r="E11" s="22">
        <f>E10*30*$B$11/$B$10*$B$13+$B$12</f>
        <v>320.4545454545455</v>
      </c>
      <c r="F11" s="22">
        <f>F10*30*$B$11/$B$10*$B$13+$B$12</f>
        <v>405.68181818181819</v>
      </c>
      <c r="G11" s="22">
        <f>G10*30*$B$11/$B$10*$B$13+$B$12</f>
        <v>490.90909090909093</v>
      </c>
    </row>
    <row r="12" spans="1:7" x14ac:dyDescent="0.25">
      <c r="A12" t="s">
        <v>60</v>
      </c>
      <c r="B12" s="23">
        <v>150</v>
      </c>
    </row>
    <row r="13" spans="1:7" x14ac:dyDescent="0.25">
      <c r="A13" t="s">
        <v>61</v>
      </c>
      <c r="B13" s="24">
        <v>0.5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Cash FLow</vt:lpstr>
      <vt:lpstr>Rider Salary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</dc:creator>
  <cp:lastModifiedBy>U1</cp:lastModifiedBy>
  <dcterms:created xsi:type="dcterms:W3CDTF">2025-12-16T14:40:10Z</dcterms:created>
  <dcterms:modified xsi:type="dcterms:W3CDTF">2026-09-27T08:05:56Z</dcterms:modified>
</cp:coreProperties>
</file>